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4"/>
  <workbookPr defaultThemeVersion="166925"/>
  <xr:revisionPtr revIDLastSave="0" documentId="8_{11E93C10-E041-0E40-B904-D9B5B8DEB06B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Table of Contents" sheetId="16" r:id="rId1"/>
    <sheet name="Week 3 August 2025" sheetId="6" r:id="rId2"/>
    <sheet name="Patrol Teams" sheetId="18" r:id="rId3"/>
    <sheet name="Personnel Roster" sheetId="15" r:id="rId4"/>
    <sheet name="Qual List" sheetId="13" r:id="rId5"/>
    <sheet name="BPT Master Leave Tracker" sheetId="8" r:id="rId6"/>
    <sheet name="Template v1.2" sheetId="5" r:id="rId7"/>
    <sheet name="Week 2 August 2025" sheetId="3" r:id="rId8"/>
    <sheet name="Week 1 August 2025" sheetId="2" r:id="rId9"/>
  </sheets>
  <definedNames>
    <definedName name="_xlnm._FilterDatabase" localSheetId="2" hidden="1">'Patrol Teams'!$A$1:$P$26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8" l="1"/>
  <c r="A1" i="6"/>
  <c r="A1" i="13"/>
  <c r="A18" i="16"/>
  <c r="A17" i="16"/>
  <c r="A16" i="16"/>
  <c r="K11" i="16"/>
  <c r="G11" i="16"/>
  <c r="C11" i="16"/>
  <c r="K9" i="16"/>
  <c r="G9" i="16"/>
  <c r="C9" i="16"/>
  <c r="A1" i="5"/>
  <c r="A1" i="15"/>
  <c r="A1" i="8"/>
  <c r="Q2" i="3"/>
  <c r="D1" i="2"/>
  <c r="A3" i="6"/>
  <c r="A5" i="6"/>
  <c r="A6" i="6"/>
  <c r="A8" i="6"/>
  <c r="A9" i="6"/>
  <c r="A11" i="6"/>
  <c r="A12" i="6"/>
  <c r="G14" i="13"/>
  <c r="LJ4" i="8" a="1"/>
  <c r="LJ4" i="8"/>
  <c r="LI4" i="8" a="1"/>
  <c r="LI4" i="8"/>
  <c r="LH4" i="8" a="1"/>
  <c r="LH4" i="8"/>
  <c r="LG4" i="8" a="1"/>
  <c r="LG4" i="8"/>
  <c r="LF4" i="8" a="1"/>
  <c r="LF4" i="8"/>
  <c r="LE4" i="8" a="1"/>
  <c r="LE4" i="8"/>
  <c r="LD4" i="8" a="1"/>
  <c r="LD4" i="8"/>
  <c r="LC4" i="8" a="1"/>
  <c r="LC4" i="8"/>
  <c r="LB4" i="8" a="1"/>
  <c r="LB4" i="8"/>
  <c r="LA4" i="8" a="1"/>
  <c r="LA4" i="8"/>
  <c r="KZ4" i="8" a="1"/>
  <c r="KZ4" i="8"/>
  <c r="KY4" i="8" a="1"/>
  <c r="KY4" i="8"/>
  <c r="KX4" i="8" a="1"/>
  <c r="KX4" i="8"/>
  <c r="KW4" i="8" a="1"/>
  <c r="KW4" i="8"/>
  <c r="KV4" i="8" a="1"/>
  <c r="KV4" i="8"/>
  <c r="KU4" i="8" a="1"/>
  <c r="KU4" i="8"/>
  <c r="KT4" i="8" a="1"/>
  <c r="KT4" i="8"/>
  <c r="KS4" i="8" a="1"/>
  <c r="KS4" i="8"/>
  <c r="KR4" i="8" a="1"/>
  <c r="KR4" i="8"/>
  <c r="KQ4" i="8" a="1"/>
  <c r="KQ4" i="8"/>
  <c r="KP4" i="8" a="1"/>
  <c r="KP4" i="8"/>
  <c r="KO4" i="8" a="1"/>
  <c r="KO4" i="8"/>
  <c r="KN4" i="8" a="1"/>
  <c r="KN4" i="8"/>
  <c r="KM4" i="8" a="1"/>
  <c r="KM4" i="8"/>
  <c r="KL4" i="8" a="1"/>
  <c r="KL4" i="8"/>
  <c r="KK4" i="8" a="1"/>
  <c r="KK4" i="8"/>
  <c r="KJ4" i="8" a="1"/>
  <c r="KJ4" i="8"/>
  <c r="KI4" i="8" a="1"/>
  <c r="KI4" i="8"/>
  <c r="KH4" i="8" a="1"/>
  <c r="KH4" i="8"/>
  <c r="KG4" i="8" a="1"/>
  <c r="KG4" i="8"/>
  <c r="KF4" i="8" a="1"/>
  <c r="KF4" i="8"/>
  <c r="KE4" i="8" a="1"/>
  <c r="KE4" i="8"/>
  <c r="KD4" i="8" a="1"/>
  <c r="KD4" i="8"/>
  <c r="KC4" i="8" a="1"/>
  <c r="KC4" i="8"/>
  <c r="KB4" i="8" a="1"/>
  <c r="KB4" i="8"/>
  <c r="KA4" i="8" a="1"/>
  <c r="KA4" i="8"/>
  <c r="JZ4" i="8" a="1"/>
  <c r="JZ4" i="8"/>
  <c r="JY4" i="8" a="1"/>
  <c r="JY4" i="8"/>
  <c r="JX4" i="8" a="1"/>
  <c r="JX4" i="8"/>
  <c r="JW4" i="8" a="1"/>
  <c r="JW4" i="8"/>
  <c r="JV4" i="8" a="1"/>
  <c r="JV4" i="8"/>
  <c r="JU4" i="8" a="1"/>
  <c r="JU4" i="8"/>
  <c r="JT4" i="8" a="1"/>
  <c r="JT4" i="8"/>
  <c r="JS4" i="8" a="1"/>
  <c r="JS4" i="8"/>
  <c r="JR4" i="8" a="1"/>
  <c r="JR4" i="8"/>
  <c r="JQ4" i="8" a="1"/>
  <c r="JQ4" i="8"/>
  <c r="JP4" i="8" a="1"/>
  <c r="JP4" i="8"/>
  <c r="JO4" i="8" a="1"/>
  <c r="JO4" i="8"/>
  <c r="JN4" i="8" a="1"/>
  <c r="JN4" i="8"/>
  <c r="JM4" i="8" a="1"/>
  <c r="JM4" i="8"/>
  <c r="JL4" i="8" a="1"/>
  <c r="JL4" i="8"/>
  <c r="JK4" i="8" a="1"/>
  <c r="JK4" i="8"/>
  <c r="JJ4" i="8" a="1"/>
  <c r="JJ4" i="8"/>
  <c r="JI4" i="8" a="1"/>
  <c r="JI4" i="8"/>
  <c r="JH4" i="8" a="1"/>
  <c r="JH4" i="8"/>
  <c r="JG4" i="8" a="1"/>
  <c r="JG4" i="8"/>
  <c r="JF4" i="8" a="1"/>
  <c r="JF4" i="8"/>
  <c r="JE4" i="8" a="1"/>
  <c r="JE4" i="8"/>
  <c r="JD4" i="8" a="1"/>
  <c r="JD4" i="8"/>
  <c r="JC4" i="8" a="1"/>
  <c r="JC4" i="8"/>
  <c r="JB4" i="8" a="1"/>
  <c r="JB4" i="8"/>
  <c r="JA4" i="8" a="1"/>
  <c r="JA4" i="8"/>
  <c r="IZ4" i="8" a="1"/>
  <c r="IZ4" i="8"/>
  <c r="IY4" i="8" a="1"/>
  <c r="IY4" i="8"/>
  <c r="IX4" i="8" a="1"/>
  <c r="IX4" i="8"/>
  <c r="IW4" i="8" a="1"/>
  <c r="IW4" i="8"/>
  <c r="IV4" i="8" a="1"/>
  <c r="IV4" i="8"/>
  <c r="IU4" i="8" a="1"/>
  <c r="IU4" i="8"/>
  <c r="IT4" i="8" a="1"/>
  <c r="IT4" i="8"/>
  <c r="IS4" i="8" a="1"/>
  <c r="IS4" i="8"/>
  <c r="IR4" i="8" a="1"/>
  <c r="IR4" i="8"/>
  <c r="IQ4" i="8" a="1"/>
  <c r="IQ4" i="8"/>
  <c r="IP4" i="8" a="1"/>
  <c r="IP4" i="8"/>
  <c r="IO4" i="8" a="1"/>
  <c r="IO4" i="8"/>
  <c r="IN4" i="8" a="1"/>
  <c r="IN4" i="8"/>
  <c r="IM4" i="8" a="1"/>
  <c r="IM4" i="8"/>
  <c r="IL4" i="8" a="1"/>
  <c r="IL4" i="8"/>
  <c r="IK4" i="8" a="1"/>
  <c r="IK4" i="8"/>
  <c r="IJ4" i="8" a="1"/>
  <c r="IJ4" i="8"/>
  <c r="II4" i="8" a="1"/>
  <c r="II4" i="8"/>
  <c r="IH4" i="8" a="1"/>
  <c r="IH4" i="8"/>
  <c r="IG4" i="8" a="1"/>
  <c r="IG4" i="8"/>
  <c r="IF4" i="8" a="1"/>
  <c r="IF4" i="8"/>
  <c r="IE4" i="8" a="1"/>
  <c r="IE4" i="8"/>
  <c r="ID4" i="8" a="1"/>
  <c r="ID4" i="8"/>
  <c r="IC4" i="8" a="1"/>
  <c r="IC4" i="8"/>
  <c r="IB4" i="8" a="1"/>
  <c r="IB4" i="8"/>
  <c r="IA4" i="8" a="1"/>
  <c r="IA4" i="8"/>
  <c r="HZ4" i="8" a="1"/>
  <c r="HZ4" i="8"/>
  <c r="HY4" i="8" a="1"/>
  <c r="HY4" i="8"/>
  <c r="HX4" i="8" a="1"/>
  <c r="HX4" i="8"/>
  <c r="HW4" i="8" a="1"/>
  <c r="HW4" i="8"/>
  <c r="HV4" i="8" a="1"/>
  <c r="HV4" i="8"/>
  <c r="HU4" i="8" a="1"/>
  <c r="HU4" i="8"/>
  <c r="HT4" i="8" a="1"/>
  <c r="HT4" i="8"/>
  <c r="HS4" i="8" a="1"/>
  <c r="HS4" i="8"/>
  <c r="HR4" i="8" a="1"/>
  <c r="HR4" i="8"/>
  <c r="HQ4" i="8" a="1"/>
  <c r="HQ4" i="8"/>
  <c r="HP4" i="8" a="1"/>
  <c r="HP4" i="8"/>
  <c r="HO4" i="8" a="1"/>
  <c r="HO4" i="8"/>
  <c r="HN4" i="8" a="1"/>
  <c r="HN4" i="8"/>
  <c r="HM4" i="8" a="1"/>
  <c r="HM4" i="8"/>
  <c r="HL4" i="8" a="1"/>
  <c r="HL4" i="8"/>
  <c r="HK4" i="8" a="1"/>
  <c r="HK4" i="8"/>
  <c r="HJ4" i="8" a="1"/>
  <c r="HJ4" i="8"/>
  <c r="HI4" i="8" a="1"/>
  <c r="HI4" i="8"/>
  <c r="HH4" i="8" a="1"/>
  <c r="HH4" i="8"/>
  <c r="HG4" i="8" a="1"/>
  <c r="HG4" i="8"/>
  <c r="HF4" i="8" a="1"/>
  <c r="HF4" i="8"/>
  <c r="HE4" i="8" a="1"/>
  <c r="HE4" i="8"/>
  <c r="HD4" i="8" a="1"/>
  <c r="HD4" i="8"/>
  <c r="HC4" i="8" a="1"/>
  <c r="HC4" i="8"/>
  <c r="HB4" i="8" a="1"/>
  <c r="HB4" i="8"/>
  <c r="HA4" i="8" a="1"/>
  <c r="HA4" i="8"/>
  <c r="GZ4" i="8" a="1"/>
  <c r="GZ4" i="8"/>
  <c r="GY4" i="8" a="1"/>
  <c r="GY4" i="8"/>
  <c r="GX4" i="8" a="1"/>
  <c r="GX4" i="8"/>
  <c r="GW4" i="8" a="1"/>
  <c r="GW4" i="8"/>
  <c r="GV4" i="8" a="1"/>
  <c r="GV4" i="8"/>
  <c r="GU4" i="8" a="1"/>
  <c r="GU4" i="8"/>
  <c r="GT4" i="8" a="1"/>
  <c r="GT4" i="8"/>
  <c r="GS4" i="8" a="1"/>
  <c r="GS4" i="8"/>
  <c r="GR4" i="8" a="1"/>
  <c r="GR4" i="8"/>
  <c r="GQ4" i="8" a="1"/>
  <c r="GQ4" i="8"/>
  <c r="GP4" i="8" a="1"/>
  <c r="GP4" i="8"/>
  <c r="GO4" i="8" a="1"/>
  <c r="GO4" i="8"/>
  <c r="GN4" i="8" a="1"/>
  <c r="GN4" i="8"/>
  <c r="GM4" i="8" a="1"/>
  <c r="GM4" i="8"/>
  <c r="GL4" i="8" a="1"/>
  <c r="GL4" i="8"/>
  <c r="GK4" i="8" a="1"/>
  <c r="GK4" i="8"/>
  <c r="GJ4" i="8" a="1"/>
  <c r="GJ4" i="8"/>
  <c r="GI4" i="8" a="1"/>
  <c r="GI4" i="8"/>
  <c r="GH4" i="8" a="1"/>
  <c r="GH4" i="8"/>
  <c r="GG4" i="8" a="1"/>
  <c r="GG4" i="8"/>
  <c r="GF4" i="8" a="1"/>
  <c r="GF4" i="8"/>
  <c r="GE4" i="8" a="1"/>
  <c r="GE4" i="8"/>
  <c r="GD4" i="8" a="1"/>
  <c r="GD4" i="8"/>
  <c r="GC4" i="8" a="1"/>
  <c r="GC4" i="8"/>
  <c r="GB4" i="8" a="1"/>
  <c r="GB4" i="8"/>
  <c r="GA4" i="8" a="1"/>
  <c r="GA4" i="8"/>
  <c r="FZ4" i="8" a="1"/>
  <c r="FZ4" i="8"/>
  <c r="FY4" i="8" a="1"/>
  <c r="FY4" i="8"/>
  <c r="FX4" i="8" a="1"/>
  <c r="FX4" i="8"/>
  <c r="FW4" i="8" a="1"/>
  <c r="FW4" i="8"/>
  <c r="FV4" i="8" a="1"/>
  <c r="FV4" i="8"/>
  <c r="FU4" i="8" a="1"/>
  <c r="FU4" i="8"/>
  <c r="FT4" i="8" a="1"/>
  <c r="FT4" i="8"/>
  <c r="FS4" i="8" a="1"/>
  <c r="FS4" i="8"/>
  <c r="FR4" i="8" a="1"/>
  <c r="FR4" i="8"/>
  <c r="FQ4" i="8" a="1"/>
  <c r="FQ4" i="8"/>
  <c r="FP4" i="8" a="1"/>
  <c r="FP4" i="8"/>
  <c r="FO4" i="8" a="1"/>
  <c r="FO4" i="8"/>
  <c r="FN4" i="8" a="1"/>
  <c r="FN4" i="8"/>
  <c r="FM4" i="8" a="1"/>
  <c r="FM4" i="8"/>
  <c r="FL4" i="8" a="1"/>
  <c r="FL4" i="8"/>
  <c r="FK4" i="8" a="1"/>
  <c r="FK4" i="8"/>
  <c r="FJ4" i="8" a="1"/>
  <c r="FJ4" i="8"/>
  <c r="FI4" i="8" a="1"/>
  <c r="FI4" i="8"/>
  <c r="FH4" i="8" a="1"/>
  <c r="FH4" i="8"/>
  <c r="FG4" i="8" a="1"/>
  <c r="FG4" i="8"/>
  <c r="FF4" i="8" a="1"/>
  <c r="FF4" i="8"/>
  <c r="FE4" i="8" a="1"/>
  <c r="FE4" i="8"/>
  <c r="FD4" i="8" a="1"/>
  <c r="FD4" i="8"/>
  <c r="FC4" i="8" a="1"/>
  <c r="FC4" i="8"/>
  <c r="FB4" i="8" a="1"/>
  <c r="FB4" i="8"/>
  <c r="FA4" i="8" a="1"/>
  <c r="FA4" i="8"/>
  <c r="EZ4" i="8" a="1"/>
  <c r="EZ4" i="8"/>
  <c r="EY4" i="8" a="1"/>
  <c r="EY4" i="8"/>
  <c r="EX4" i="8" a="1"/>
  <c r="EX4" i="8"/>
  <c r="EW4" i="8" a="1"/>
  <c r="EW4" i="8"/>
  <c r="EV4" i="8" a="1"/>
  <c r="EV4" i="8"/>
  <c r="EU4" i="8" a="1"/>
  <c r="EU4" i="8"/>
  <c r="ET4" i="8" a="1"/>
  <c r="ET4" i="8"/>
  <c r="ES4" i="8" a="1"/>
  <c r="ES4" i="8"/>
  <c r="ER4" i="8" a="1"/>
  <c r="ER4" i="8"/>
  <c r="EQ4" i="8" a="1"/>
  <c r="EQ4" i="8"/>
  <c r="EP4" i="8" a="1"/>
  <c r="EP4" i="8"/>
  <c r="EO4" i="8" a="1"/>
  <c r="EO4" i="8"/>
  <c r="EN4" i="8" a="1"/>
  <c r="EN4" i="8"/>
  <c r="EM4" i="8" a="1"/>
  <c r="EM4" i="8"/>
  <c r="EL4" i="8" a="1"/>
  <c r="EL4" i="8"/>
  <c r="EK4" i="8" a="1"/>
  <c r="EK4" i="8"/>
  <c r="EJ4" i="8" a="1"/>
  <c r="EJ4" i="8"/>
  <c r="EI4" i="8" a="1"/>
  <c r="EI4" i="8"/>
  <c r="EH4" i="8" a="1"/>
  <c r="EH4" i="8"/>
  <c r="EG4" i="8" a="1"/>
  <c r="EG4" i="8"/>
  <c r="EF4" i="8" a="1"/>
  <c r="EF4" i="8"/>
  <c r="EE4" i="8" a="1"/>
  <c r="EE4" i="8"/>
  <c r="ED4" i="8" a="1"/>
  <c r="ED4" i="8"/>
  <c r="EC4" i="8" a="1"/>
  <c r="EC4" i="8"/>
  <c r="EB4" i="8" a="1"/>
  <c r="EB4" i="8"/>
  <c r="EA4" i="8" a="1"/>
  <c r="EA4" i="8"/>
  <c r="DZ4" i="8" a="1"/>
  <c r="DZ4" i="8"/>
  <c r="DY4" i="8" a="1"/>
  <c r="DY4" i="8"/>
  <c r="DX4" i="8" a="1"/>
  <c r="DX4" i="8"/>
  <c r="DW4" i="8" a="1"/>
  <c r="DW4" i="8"/>
  <c r="DV4" i="8" a="1"/>
  <c r="DV4" i="8"/>
  <c r="DU4" i="8" a="1"/>
  <c r="DU4" i="8"/>
  <c r="DT4" i="8" a="1"/>
  <c r="DT4" i="8"/>
  <c r="DS4" i="8" a="1"/>
  <c r="DS4" i="8"/>
  <c r="DR4" i="8" a="1"/>
  <c r="DR4" i="8"/>
  <c r="DQ4" i="8" a="1"/>
  <c r="DQ4" i="8"/>
  <c r="DP4" i="8" a="1"/>
  <c r="DP4" i="8"/>
  <c r="DO4" i="8" a="1"/>
  <c r="DO4" i="8"/>
  <c r="DN4" i="8" a="1"/>
  <c r="DN4" i="8"/>
  <c r="DM4" i="8" a="1"/>
  <c r="DM4" i="8"/>
  <c r="DL4" i="8" a="1"/>
  <c r="DL4" i="8"/>
  <c r="DK4" i="8" a="1"/>
  <c r="DK4" i="8"/>
  <c r="DJ4" i="8" a="1"/>
  <c r="DJ4" i="8"/>
  <c r="DI4" i="8" a="1"/>
  <c r="DI4" i="8"/>
  <c r="DH4" i="8" a="1"/>
  <c r="DH4" i="8"/>
  <c r="DG4" i="8" a="1"/>
  <c r="DG4" i="8"/>
  <c r="DF4" i="8" a="1"/>
  <c r="DF4" i="8"/>
  <c r="DE4" i="8" a="1"/>
  <c r="DE4" i="8"/>
  <c r="DD4" i="8" a="1"/>
  <c r="DD4" i="8"/>
  <c r="DC4" i="8" a="1"/>
  <c r="DC4" i="8"/>
  <c r="DB4" i="8" a="1"/>
  <c r="DB4" i="8"/>
  <c r="DA4" i="8" a="1"/>
  <c r="DA4" i="8"/>
  <c r="CZ4" i="8" a="1"/>
  <c r="CZ4" i="8"/>
  <c r="CY4" i="8" a="1"/>
  <c r="CY4" i="8"/>
  <c r="CX4" i="8" a="1"/>
  <c r="CX4" i="8"/>
  <c r="CW4" i="8" a="1"/>
  <c r="CW4" i="8"/>
  <c r="CV4" i="8" a="1"/>
  <c r="CV4" i="8"/>
  <c r="CU4" i="8" a="1"/>
  <c r="CU4" i="8"/>
  <c r="CT4" i="8" a="1"/>
  <c r="CT4" i="8"/>
  <c r="CS4" i="8" a="1"/>
  <c r="CS4" i="8"/>
  <c r="CR4" i="8" a="1"/>
  <c r="CR4" i="8"/>
  <c r="CQ4" i="8" a="1"/>
  <c r="CQ4" i="8"/>
  <c r="CP4" i="8" a="1"/>
  <c r="CP4" i="8"/>
  <c r="CO4" i="8" a="1"/>
  <c r="CO4" i="8"/>
  <c r="CN4" i="8" a="1"/>
  <c r="CN4" i="8"/>
  <c r="CM4" i="8" a="1"/>
  <c r="CM4" i="8"/>
  <c r="CL4" i="8" a="1"/>
  <c r="CL4" i="8"/>
  <c r="CK4" i="8" a="1"/>
  <c r="CK4" i="8"/>
  <c r="CJ4" i="8" a="1"/>
  <c r="CJ4" i="8"/>
  <c r="CI4" i="8" a="1"/>
  <c r="CI4" i="8"/>
  <c r="CH4" i="8" a="1"/>
  <c r="CH4" i="8"/>
  <c r="CG4" i="8" a="1"/>
  <c r="CG4" i="8"/>
  <c r="CF4" i="8" a="1"/>
  <c r="CF4" i="8"/>
  <c r="CE4" i="8" a="1"/>
  <c r="CE4" i="8"/>
  <c r="CD4" i="8" a="1"/>
  <c r="CD4" i="8"/>
  <c r="CC4" i="8" a="1"/>
  <c r="CC4" i="8"/>
  <c r="CB4" i="8" a="1"/>
  <c r="CB4" i="8"/>
  <c r="CA4" i="8" a="1"/>
  <c r="CA4" i="8"/>
  <c r="BZ4" i="8" a="1"/>
  <c r="BZ4" i="8"/>
  <c r="BY4" i="8" a="1"/>
  <c r="BY4" i="8"/>
  <c r="BX4" i="8" a="1"/>
  <c r="BX4" i="8"/>
  <c r="BW4" i="8" a="1"/>
  <c r="BW4" i="8"/>
  <c r="BV4" i="8" a="1"/>
  <c r="BV4" i="8"/>
  <c r="BU4" i="8" a="1"/>
  <c r="BU4" i="8"/>
  <c r="BT4" i="8" a="1"/>
  <c r="BT4" i="8"/>
  <c r="BS4" i="8" a="1"/>
  <c r="BS4" i="8"/>
  <c r="BR4" i="8" a="1"/>
  <c r="BR4" i="8"/>
  <c r="BQ4" i="8" a="1"/>
  <c r="BQ4" i="8"/>
  <c r="BP4" i="8" a="1"/>
  <c r="BP4" i="8"/>
  <c r="BO4" i="8" a="1"/>
  <c r="BO4" i="8"/>
  <c r="BN4" i="8" a="1"/>
  <c r="BN4" i="8"/>
  <c r="BM4" i="8" a="1"/>
  <c r="BM4" i="8"/>
  <c r="BL4" i="8" a="1"/>
  <c r="BL4" i="8"/>
  <c r="BK4" i="8" a="1"/>
  <c r="BK4" i="8"/>
  <c r="BJ4" i="8" a="1"/>
  <c r="BJ4" i="8"/>
  <c r="BI4" i="8" a="1"/>
  <c r="BI4" i="8"/>
  <c r="BH4" i="8" a="1"/>
  <c r="BH4" i="8"/>
  <c r="BG4" i="8" a="1"/>
  <c r="BG4" i="8"/>
  <c r="BF4" i="8" a="1"/>
  <c r="BF4" i="8"/>
  <c r="BE4" i="8" a="1"/>
  <c r="BE4" i="8"/>
  <c r="BD4" i="8" a="1"/>
  <c r="BD4" i="8"/>
  <c r="BC4" i="8" a="1"/>
  <c r="BC4" i="8"/>
  <c r="BB4" i="8" a="1"/>
  <c r="BB4" i="8"/>
  <c r="BA4" i="8" a="1"/>
  <c r="BA4" i="8"/>
  <c r="AZ4" i="8" a="1"/>
  <c r="AZ4" i="8"/>
  <c r="AY4" i="8" a="1"/>
  <c r="AY4" i="8"/>
  <c r="AX4" i="8" a="1"/>
  <c r="AX4" i="8"/>
  <c r="AW4" i="8" a="1"/>
  <c r="AW4" i="8"/>
  <c r="AV4" i="8" a="1"/>
  <c r="AV4" i="8"/>
  <c r="AU4" i="8" a="1"/>
  <c r="AU4" i="8"/>
  <c r="AT4" i="8" a="1"/>
  <c r="AT4" i="8"/>
  <c r="AS4" i="8" a="1"/>
  <c r="AS4" i="8"/>
  <c r="AR4" i="8" a="1"/>
  <c r="AR4" i="8"/>
  <c r="AQ4" i="8" a="1"/>
  <c r="AQ4" i="8"/>
  <c r="AP4" i="8" a="1"/>
  <c r="AP4" i="8"/>
  <c r="AO4" i="8" a="1"/>
  <c r="AO4" i="8"/>
  <c r="AN4" i="8" a="1"/>
  <c r="AN4" i="8"/>
  <c r="AM4" i="8" a="1"/>
  <c r="AM4" i="8"/>
  <c r="AL4" i="8" a="1"/>
  <c r="AL4" i="8"/>
  <c r="AK4" i="8" a="1"/>
  <c r="AK4" i="8"/>
  <c r="AJ4" i="8" a="1"/>
  <c r="AJ4" i="8"/>
  <c r="AI4" i="8" a="1"/>
  <c r="AI4" i="8"/>
  <c r="AH4" i="8" a="1"/>
  <c r="AH4" i="8"/>
  <c r="AG4" i="8" a="1"/>
  <c r="AG4" i="8"/>
  <c r="AF4" i="8" a="1"/>
  <c r="AF4" i="8"/>
  <c r="AE4" i="8" a="1"/>
  <c r="AE4" i="8"/>
  <c r="AD4" i="8" a="1"/>
  <c r="AD4" i="8"/>
  <c r="AC4" i="8" a="1"/>
  <c r="AC4" i="8"/>
  <c r="AB4" i="8" a="1"/>
  <c r="AB4" i="8"/>
  <c r="AA4" i="8" a="1"/>
  <c r="AA4" i="8"/>
  <c r="Z4" i="8" a="1"/>
  <c r="Z4" i="8"/>
  <c r="Y4" i="8" a="1"/>
  <c r="Y4" i="8"/>
  <c r="X4" i="8" a="1"/>
  <c r="X4" i="8"/>
  <c r="W4" i="8" a="1"/>
  <c r="W4" i="8"/>
  <c r="V4" i="8" a="1"/>
  <c r="V4" i="8"/>
  <c r="U4" i="8" a="1"/>
  <c r="U4" i="8"/>
  <c r="T4" i="8" a="1"/>
  <c r="T4" i="8"/>
  <c r="S4" i="8" a="1"/>
  <c r="S4" i="8"/>
  <c r="R4" i="8" a="1"/>
  <c r="R4" i="8"/>
  <c r="Q4" i="8" a="1"/>
  <c r="Q4" i="8"/>
  <c r="P4" i="8" a="1"/>
  <c r="P4" i="8"/>
  <c r="O4" i="8" a="1"/>
  <c r="O4" i="8"/>
  <c r="N4" i="8" a="1"/>
  <c r="N4" i="8"/>
  <c r="M4" i="8" a="1"/>
  <c r="M4" i="8"/>
  <c r="L4" i="8" a="1"/>
  <c r="L4" i="8"/>
  <c r="K4" i="8" a="1"/>
  <c r="K4" i="8"/>
  <c r="J4" i="8" a="1"/>
  <c r="J4" i="8"/>
  <c r="I4" i="8" a="1"/>
  <c r="I4" i="8"/>
  <c r="H4" i="8" a="1"/>
  <c r="H4" i="8"/>
  <c r="G4" i="8" a="1"/>
  <c r="G4" i="8"/>
  <c r="A2" i="8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2" i="13"/>
  <c r="G11" i="13"/>
  <c r="G10" i="13"/>
  <c r="G9" i="13"/>
  <c r="G8" i="13"/>
  <c r="G7" i="13"/>
  <c r="G6" i="13"/>
  <c r="G5" i="13"/>
  <c r="G4" i="13"/>
  <c r="G3" i="13"/>
  <c r="G13" i="13"/>
  <c r="A8" i="5"/>
  <c r="A5" i="5"/>
  <c r="A11" i="5"/>
  <c r="A3" i="5"/>
  <c r="Q61" i="3"/>
  <c r="Q59" i="3"/>
  <c r="Q64" i="3"/>
  <c r="X70" i="3"/>
  <c r="P73" i="3"/>
  <c r="O73" i="3"/>
  <c r="N73" i="3"/>
  <c r="M73" i="3"/>
  <c r="L73" i="3"/>
  <c r="K73" i="3"/>
  <c r="J73" i="3"/>
  <c r="P72" i="3"/>
  <c r="O72" i="3"/>
  <c r="N72" i="3"/>
  <c r="M72" i="3"/>
  <c r="L72" i="3"/>
  <c r="K72" i="3"/>
  <c r="J72" i="3"/>
  <c r="P70" i="3"/>
  <c r="O70" i="3"/>
  <c r="N70" i="3"/>
  <c r="M70" i="3"/>
  <c r="L70" i="3"/>
  <c r="K70" i="3"/>
  <c r="J70" i="3"/>
  <c r="P69" i="3"/>
  <c r="P71" i="3"/>
  <c r="O69" i="3"/>
  <c r="O71" i="3"/>
  <c r="N69" i="3"/>
  <c r="N71" i="3"/>
  <c r="M69" i="3"/>
  <c r="M71" i="3"/>
  <c r="L69" i="3"/>
  <c r="L71" i="3"/>
  <c r="K69" i="3"/>
  <c r="K71" i="3"/>
  <c r="J69" i="3"/>
  <c r="J71" i="3"/>
  <c r="D64" i="3"/>
  <c r="Q63" i="3"/>
  <c r="D63" i="2"/>
  <c r="J68" i="2"/>
  <c r="P72" i="2"/>
  <c r="O72" i="2"/>
  <c r="N72" i="2"/>
  <c r="M72" i="2"/>
  <c r="L72" i="2"/>
  <c r="K72" i="2"/>
  <c r="J72" i="2"/>
  <c r="P71" i="2"/>
  <c r="O71" i="2"/>
  <c r="N71" i="2"/>
  <c r="M71" i="2"/>
  <c r="L71" i="2"/>
  <c r="K71" i="2"/>
  <c r="J71" i="2"/>
  <c r="P69" i="2"/>
  <c r="O69" i="2"/>
  <c r="N69" i="2"/>
  <c r="M69" i="2"/>
  <c r="L69" i="2"/>
  <c r="K69" i="2"/>
  <c r="J69" i="2"/>
  <c r="P68" i="2"/>
  <c r="P70" i="2"/>
  <c r="O68" i="2"/>
  <c r="O70" i="2"/>
  <c r="N68" i="2"/>
  <c r="N70" i="2"/>
  <c r="M68" i="2"/>
  <c r="M70" i="2"/>
  <c r="L68" i="2"/>
  <c r="L70" i="2"/>
  <c r="K68" i="2"/>
  <c r="K70" i="2"/>
  <c r="J70" i="2"/>
  <c r="A9" i="5"/>
  <c r="A6" i="5"/>
  <c r="A12" i="5"/>
  <c r="AD70" i="3"/>
  <c r="AC70" i="3"/>
  <c r="AB70" i="3"/>
  <c r="AA70" i="3"/>
  <c r="AD69" i="3"/>
  <c r="AD71" i="3"/>
  <c r="AC69" i="3"/>
  <c r="AC71" i="3"/>
  <c r="AB69" i="3"/>
  <c r="AB71" i="3"/>
  <c r="AA69" i="3"/>
  <c r="AA71" i="3"/>
  <c r="X69" i="3"/>
  <c r="X7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<sst xmlns="http://schemas.openxmlformats.org/spreadsheetml/2006/main" count="2707" uniqueCount="317">
  <si>
    <t>Beach Party Team Personnel Tracker</t>
  </si>
  <si>
    <t>Insert Cool Logo</t>
  </si>
  <si>
    <t>Credit: CM2 Tyrone</t>
  </si>
  <si>
    <t>Personnel Roster:</t>
  </si>
  <si>
    <t>Current Week:</t>
  </si>
  <si>
    <t>Master Leave Tracker:</t>
  </si>
  <si>
    <t>Tracker Template:</t>
  </si>
  <si>
    <t>Qualification List:</t>
  </si>
  <si>
    <t>Patrol Teams (WIP):</t>
  </si>
  <si>
    <t>Archived Worklists: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</si>
  <si>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</si>
  <si>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</si>
  <si>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</si>
  <si>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</si>
  <si>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</si>
  <si>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</si>
  <si>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</si>
  <si>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</si>
  <si>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</si>
  <si>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</si>
  <si>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</si>
  <si>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</si>
  <si>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✓                       Maintenance Tasks:</t>
  </si>
  <si>
    <t>✓                     Corrective Tasks:</t>
  </si>
  <si>
    <t>Accomplished by:</t>
  </si>
  <si>
    <t>✓                  General Tasks:</t>
  </si>
  <si>
    <t>Total:</t>
  </si>
  <si>
    <t xml:space="preserve">      Fix inoperable windows on HMMWV 685</t>
  </si>
  <si>
    <t>Print/Sign</t>
  </si>
  <si>
    <t>Tagout Audit</t>
  </si>
  <si>
    <t>1-Leave:</t>
  </si>
  <si>
    <t>Investigate Dozer 402 Hydraulic Leak under cab</t>
  </si>
  <si>
    <t>LSSV Hard Cards</t>
  </si>
  <si>
    <t>Inspect seatbelts 967, replace if needed</t>
  </si>
  <si>
    <t>HMMWV Hard Cards</t>
  </si>
  <si>
    <t>2-TAD:</t>
  </si>
  <si>
    <t>Secure ignition switch, john deere display 967 panel</t>
  </si>
  <si>
    <t>MTVR Hard Cards</t>
  </si>
  <si>
    <t>Absent:</t>
  </si>
  <si>
    <t>Install missing seat, seatbelt 936</t>
  </si>
  <si>
    <t>LARC Hard Cards</t>
  </si>
  <si>
    <t xml:space="preserve">      Flush 685 Power Steering system	</t>
  </si>
  <si>
    <t>Dozer Hard Cards</t>
  </si>
  <si>
    <t>D.L.= Driver</t>
  </si>
  <si>
    <t>Replace 936 12v switch</t>
  </si>
  <si>
    <t>Review/file Hard Cards</t>
  </si>
  <si>
    <t>Finish new LARC Lines/Logs</t>
  </si>
  <si>
    <t>Crew</t>
  </si>
  <si>
    <t>Name/Rate</t>
  </si>
  <si>
    <t>DS</t>
  </si>
  <si>
    <t>3M</t>
  </si>
  <si>
    <t>D.L.</t>
  </si>
  <si>
    <t>Vehicle Quals</t>
  </si>
  <si>
    <t>Dinq Quals</t>
  </si>
  <si>
    <t>Leave/TAD Status</t>
  </si>
  <si>
    <t>Training Planned:</t>
  </si>
  <si>
    <t>Individual Tasking (if applicable)</t>
  </si>
  <si>
    <t>Dates</t>
  </si>
  <si>
    <t>Monday:</t>
  </si>
  <si>
    <t>Tuesday:</t>
  </si>
  <si>
    <t>Wednesday:</t>
  </si>
  <si>
    <t>Thursday:</t>
  </si>
  <si>
    <t>Friday:</t>
  </si>
  <si>
    <t>Crew 1 (Monday)</t>
  </si>
  <si>
    <t>CM2 Tyrone</t>
  </si>
  <si>
    <t>Y</t>
  </si>
  <si>
    <t>HMMWV, DOZER</t>
  </si>
  <si>
    <t>Gun shoot</t>
  </si>
  <si>
    <t>File Hard Cards, Update CESE Tracker</t>
  </si>
  <si>
    <t>Make following week's worklist</t>
  </si>
  <si>
    <t>ET2 Moye</t>
  </si>
  <si>
    <t>N</t>
  </si>
  <si>
    <t>HMMWV</t>
  </si>
  <si>
    <t>BM2 Alameda</t>
  </si>
  <si>
    <t>Finish new line LARC Lines/Logs</t>
  </si>
  <si>
    <t>BM2 Gonzalez</t>
  </si>
  <si>
    <t>LARC</t>
  </si>
  <si>
    <t>MM3 So</t>
  </si>
  <si>
    <t>Dozer Hard Cards, Replace 936 12v switch</t>
  </si>
  <si>
    <t>MM3 Potok</t>
  </si>
  <si>
    <t>Fill out part request for 445 pass. rear light</t>
  </si>
  <si>
    <t>Part req. 685 rusted rear driver suspension</t>
  </si>
  <si>
    <t>SN Monteiro</t>
  </si>
  <si>
    <t>Crew 2 (Tuesday)</t>
  </si>
  <si>
    <t>EN2 Fuentes</t>
  </si>
  <si>
    <t xml:space="preserve">HMMWV , LARC </t>
  </si>
  <si>
    <t>Input last hard cards, Schedule spot checks</t>
  </si>
  <si>
    <t>EN2 Jaramillo</t>
  </si>
  <si>
    <t>MTVR, HMMWV</t>
  </si>
  <si>
    <t xml:space="preserve">Review part orders/jobs needed for CESE	</t>
  </si>
  <si>
    <t>SN Haustein</t>
  </si>
  <si>
    <t>Flush 685 power steering, refill, fix windows</t>
  </si>
  <si>
    <t>SN Angeles</t>
  </si>
  <si>
    <t>Crew 3 (Wednesday)</t>
  </si>
  <si>
    <t>EN2 Valdez</t>
  </si>
  <si>
    <t>Add following week's training to worklist</t>
  </si>
  <si>
    <t>GM2 Guglielmina</t>
  </si>
  <si>
    <t>SN Gonzalez</t>
  </si>
  <si>
    <t>SN Taiwo</t>
  </si>
  <si>
    <t>SN Afadapa</t>
  </si>
  <si>
    <t>SN Benjamin</t>
  </si>
  <si>
    <t>SN Simmons</t>
  </si>
  <si>
    <t>BMSR Oxlaj-Barrios</t>
  </si>
  <si>
    <t>Crew 4 (Friday)</t>
  </si>
  <si>
    <t>CM2 Sadang</t>
  </si>
  <si>
    <t>HMMWV, LARC</t>
  </si>
  <si>
    <t>BM3 Taylor</t>
  </si>
  <si>
    <t>LARC, HMMWV</t>
  </si>
  <si>
    <t>Add next week's PMS to worklist</t>
  </si>
  <si>
    <t>ENFN Yang</t>
  </si>
  <si>
    <t>Tagout Audit, LARC Hard Cards</t>
  </si>
  <si>
    <t>SN Edwards</t>
  </si>
  <si>
    <t>Dinq Personnel:</t>
  </si>
  <si>
    <t>CMCR Massie</t>
  </si>
  <si>
    <t>Finish installing 876 tarp</t>
  </si>
  <si>
    <t>Inspect 967/936 seatbelts, replace if needed</t>
  </si>
  <si>
    <t>Secure ignition switch, JD display 967</t>
  </si>
  <si>
    <t>Leadership</t>
  </si>
  <si>
    <t>CWO2 Rivera</t>
  </si>
  <si>
    <t>BMC Jones</t>
  </si>
  <si>
    <t>BMC (Sel) Borges</t>
  </si>
  <si>
    <t>EN1 Barquilla</t>
  </si>
  <si>
    <t>Dozer</t>
  </si>
  <si>
    <t>BM1 Woodland</t>
  </si>
  <si>
    <t>QM1 Cain</t>
  </si>
  <si>
    <t>Personnel on Leave</t>
  </si>
  <si>
    <t>TAD Personnel</t>
  </si>
  <si>
    <t>EN1 Sweney</t>
  </si>
  <si>
    <t>CM1 Herrera</t>
  </si>
  <si>
    <t>CM2 Roesli</t>
  </si>
  <si>
    <t>MTVR</t>
  </si>
  <si>
    <t>ITSN Espada</t>
  </si>
  <si>
    <t>BMSN Rodriguez</t>
  </si>
  <si>
    <t>SN Smallridge</t>
  </si>
  <si>
    <t>Beach Party Team Personnel Roster</t>
  </si>
  <si>
    <t>Khakis</t>
  </si>
  <si>
    <t>E6</t>
  </si>
  <si>
    <t>E5</t>
  </si>
  <si>
    <t>Junior</t>
  </si>
  <si>
    <t>EN2 Jarmillo</t>
  </si>
  <si>
    <t>WC</t>
  </si>
  <si>
    <t>BPT</t>
  </si>
  <si>
    <t>Vehicles</t>
  </si>
  <si>
    <t>1- Qualified</t>
  </si>
  <si>
    <t>2- Dinq</t>
  </si>
  <si>
    <t>Total Quals:</t>
  </si>
  <si>
    <t>Craftsman</t>
  </si>
  <si>
    <t>RPPO</t>
  </si>
  <si>
    <t xml:space="preserve">Workcenter </t>
  </si>
  <si>
    <t>POOW</t>
  </si>
  <si>
    <t>Rover</t>
  </si>
  <si>
    <t>SUROB</t>
  </si>
  <si>
    <t>TC</t>
  </si>
  <si>
    <t>Flank</t>
  </si>
  <si>
    <t>RTO</t>
  </si>
  <si>
    <t>SALPO</t>
  </si>
  <si>
    <t>SALO</t>
  </si>
  <si>
    <t>BPTC</t>
  </si>
  <si>
    <t>DOZER</t>
  </si>
  <si>
    <t>LARC Crew</t>
  </si>
  <si>
    <t>LARC Eng.</t>
  </si>
  <si>
    <t>LARC Cdr.</t>
  </si>
  <si>
    <t>EN1 Sweeney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</si>
  <si>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</si>
  <si>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</si>
  <si>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</si>
  <si>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</si>
  <si>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</si>
  <si>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</si>
  <si>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</si>
  <si>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</si>
  <si>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</si>
  <si>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</si>
  <si>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</si>
  <si>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Tuesday</t>
  </si>
  <si>
    <t>Wednesday</t>
  </si>
  <si>
    <t>Thursday</t>
  </si>
  <si>
    <t>Friday</t>
  </si>
  <si>
    <t>Saturday</t>
  </si>
  <si>
    <t>Sunday</t>
  </si>
  <si>
    <t>Monday</t>
  </si>
  <si>
    <t>1-Leave</t>
  </si>
  <si>
    <t>2-TAD</t>
  </si>
  <si>
    <t>Percentage Absent:</t>
  </si>
  <si>
    <t>Week 1: August 4th - 8th Worklist</t>
  </si>
  <si>
    <t>✓                 Maintenance Tasks:</t>
  </si>
  <si>
    <t>Hrs</t>
  </si>
  <si>
    <t>✓                                      Corrective Tasks:</t>
  </si>
  <si>
    <t>✓                                 General Tasks:</t>
  </si>
  <si>
    <t>✓                           Maintenance Tasks:</t>
  </si>
  <si>
    <t>✓                   Corrective Tasks:</t>
  </si>
  <si>
    <t>✓           General Tasks:</t>
  </si>
  <si>
    <t xml:space="preserve">      DML Checks</t>
  </si>
  <si>
    <t>Name:                         Sign:</t>
  </si>
  <si>
    <t xml:space="preserve">      Lubricate Dozer Doors</t>
  </si>
  <si>
    <t xml:space="preserve">      Tagout Audit</t>
  </si>
  <si>
    <r>
      <rPr>
        <sz val="11"/>
        <color rgb="FF000000"/>
        <rFont val="Calibri"/>
        <scheme val="minor"/>
      </rPr>
      <t xml:space="preserve">       LARC MAINTENACE (967- </t>
    </r>
    <r>
      <rPr>
        <sz val="11"/>
        <color rgb="FFFF0000"/>
        <rFont val="Calibri"/>
        <scheme val="minor"/>
      </rPr>
      <t>A-4, S-3 ,  S-8</t>
    </r>
    <r>
      <rPr>
        <sz val="11"/>
        <color rgb="FF000000"/>
        <rFont val="Calibri"/>
        <scheme val="minor"/>
      </rPr>
      <t xml:space="preserve"> )</t>
    </r>
  </si>
  <si>
    <t>Troubleshoot 967 Horn</t>
  </si>
  <si>
    <t xml:space="preserve">      Firehose Checks</t>
  </si>
  <si>
    <t xml:space="preserve">      Investigate Dozer 402 Hydraulic Leak under cab</t>
  </si>
  <si>
    <t xml:space="preserve">      LSSV Hard Cards</t>
  </si>
  <si>
    <t>1: Leave</t>
  </si>
  <si>
    <t xml:space="preserve">       M-2 HMMWV (685)</t>
  </si>
  <si>
    <t xml:space="preserve">      LARC Checks</t>
  </si>
  <si>
    <t xml:space="preserve">      Finish reinstalling doors, hatches on LARC 936</t>
  </si>
  <si>
    <t xml:space="preserve">      HMMWV Hard Cards</t>
  </si>
  <si>
    <t>2: TAD</t>
  </si>
  <si>
    <r>
      <rPr>
        <sz val="11"/>
        <color rgb="FF000000"/>
        <rFont val="Calibri"/>
        <scheme val="minor"/>
      </rPr>
      <t xml:space="preserve">      LARC Checks (PRE/</t>
    </r>
    <r>
      <rPr>
        <sz val="11"/>
        <color rgb="FFFF0000"/>
        <rFont val="Calibri"/>
        <scheme val="minor"/>
      </rPr>
      <t>POST</t>
    </r>
    <r>
      <rPr>
        <sz val="11"/>
        <color rgb="FF000000"/>
        <rFont val="Calibri"/>
        <scheme val="minor"/>
      </rPr>
      <t>)</t>
    </r>
  </si>
  <si>
    <t>Reinstall 936 Rear nav light</t>
  </si>
  <si>
    <t xml:space="preserve">      Vest/Life Preserver Checks</t>
  </si>
  <si>
    <t xml:space="preserve">      Re-mount 552 Fuel Sending Unit due to Inadequate seal</t>
  </si>
  <si>
    <t xml:space="preserve">      LARC Hard Cards</t>
  </si>
  <si>
    <t>Week 2: August 11th - 15th Worklist</t>
  </si>
  <si>
    <t xml:space="preserve">      Waterbull Checks</t>
  </si>
  <si>
    <t xml:space="preserve">      Continue troubleshooting LARC Electrical Issues</t>
  </si>
  <si>
    <t xml:space="preserve">      MTVR Hard Cards</t>
  </si>
  <si>
    <t xml:space="preserve">      M-1R (FIREHOSES) </t>
  </si>
  <si>
    <t xml:space="preserve">      Extinguisher Checks</t>
  </si>
  <si>
    <t xml:space="preserve">      Flush 685 Power Steering system</t>
  </si>
  <si>
    <t xml:space="preserve">      Dozer Hard Cards</t>
  </si>
  <si>
    <t xml:space="preserve">      24M-1R CONNEX (#013849)</t>
  </si>
  <si>
    <t xml:space="preserve">       Salvage Equipment Checks</t>
  </si>
  <si>
    <t xml:space="preserve">      Fix or replace inoperable windows on HMMWV 685</t>
  </si>
  <si>
    <t xml:space="preserve">      Dress out LARCS</t>
  </si>
  <si>
    <r>
      <rPr>
        <sz val="11"/>
        <color rgb="FF000000"/>
        <rFont val="Calibri"/>
      </rPr>
      <t xml:space="preserve">      LARC PMS(552 </t>
    </r>
    <r>
      <rPr>
        <sz val="11"/>
        <color rgb="FFFF0000"/>
        <rFont val="Calibri"/>
      </rPr>
      <t xml:space="preserve">M-2 </t>
    </r>
    <r>
      <rPr>
        <sz val="11"/>
        <color rgb="FF000000"/>
        <rFont val="Calibri"/>
      </rPr>
      <t xml:space="preserve">, S-8 , </t>
    </r>
    <r>
      <rPr>
        <sz val="11"/>
        <color rgb="FFFF0000"/>
        <rFont val="Calibri"/>
      </rPr>
      <t>M-4R</t>
    </r>
    <r>
      <rPr>
        <sz val="11"/>
        <color rgb="FF000000"/>
        <rFont val="Calibri"/>
      </rPr>
      <t xml:space="preserve">  ) (LARC 936 </t>
    </r>
    <r>
      <rPr>
        <sz val="11"/>
        <color rgb="FFFF0000"/>
        <rFont val="Calibri"/>
      </rPr>
      <t>M-2</t>
    </r>
    <r>
      <rPr>
        <sz val="11"/>
        <color rgb="FF000000"/>
        <rFont val="Calibri"/>
      </rPr>
      <t xml:space="preserve"> ) </t>
    </r>
  </si>
  <si>
    <t xml:space="preserve">       Dozer Checks</t>
  </si>
  <si>
    <t xml:space="preserve">      Troubleshoot LARC 876 Low Battery Charge</t>
  </si>
  <si>
    <t xml:space="preserve">      Vest Checks</t>
  </si>
  <si>
    <r>
      <rPr>
        <sz val="11"/>
        <color rgb="FF000000"/>
        <rFont val="Calibri"/>
        <scheme val="minor"/>
      </rPr>
      <t xml:space="preserve">       MTVR maintenance (130 - </t>
    </r>
    <r>
      <rPr>
        <sz val="11"/>
        <color rgb="FFFF0000"/>
        <rFont val="Calibri"/>
        <scheme val="minor"/>
      </rPr>
      <t>24M-1, 24M-2 ,24M-4</t>
    </r>
    <r>
      <rPr>
        <sz val="11"/>
        <color rgb="FF000000"/>
        <rFont val="Calibri"/>
        <scheme val="minor"/>
      </rPr>
      <t xml:space="preserve">) </t>
    </r>
  </si>
  <si>
    <t xml:space="preserve">       HMMWV Checks</t>
  </si>
  <si>
    <t xml:space="preserve">      Troubleshoot 685 Faulty headlight dimmer switch</t>
  </si>
  <si>
    <t xml:space="preserve">      LARC Post Checks</t>
  </si>
  <si>
    <t xml:space="preserve">      DOZER maintenace (404-M-1)  </t>
  </si>
  <si>
    <t xml:space="preserve">       LSSV Checks</t>
  </si>
  <si>
    <t xml:space="preserve">      Fix HMMWV 445 Passenger side inoperable parking lights</t>
  </si>
  <si>
    <t xml:space="preserve">      Review part orders/jobs needed for CESE</t>
  </si>
  <si>
    <t xml:space="preserve">       Maintenance Carried Over</t>
  </si>
  <si>
    <t>TBD</t>
  </si>
  <si>
    <t xml:space="preserve">      File Hard Cards, Update CESE Tracker</t>
  </si>
  <si>
    <t>Duty</t>
  </si>
  <si>
    <t>Appointments/Watch</t>
  </si>
  <si>
    <t>Leave Dates</t>
  </si>
  <si>
    <t>Appt./Watch</t>
  </si>
  <si>
    <t>Salvage Equipment Checks</t>
  </si>
  <si>
    <t>Dress out LARCS</t>
  </si>
  <si>
    <t>LARC Post Checks</t>
  </si>
  <si>
    <t xml:space="preserve">CONNEX PMS </t>
  </si>
  <si>
    <t>Tagout Audit, Extinguisher Checks, Barracks Rover 14-20</t>
  </si>
  <si>
    <t>Firehose Checks, Dress out LARCS</t>
  </si>
  <si>
    <t xml:space="preserve">LARC pms </t>
  </si>
  <si>
    <t>Waterbull Checks</t>
  </si>
  <si>
    <t>Dress out LARCS, POOW 2-8</t>
  </si>
  <si>
    <t>Late Sleepers, LARC Post Checks</t>
  </si>
  <si>
    <t>Reinstall 936 Rear nav light, Secure ignition switch, john deere display 967 panel</t>
  </si>
  <si>
    <t xml:space="preserve"> LARCS, S-8 for both LARCS </t>
  </si>
  <si>
    <t>LSSV 890, 371 Hard Cards</t>
  </si>
  <si>
    <t>Vest/Life Preserver Checks</t>
  </si>
  <si>
    <t>POOW 8-14</t>
  </si>
  <si>
    <t>LARC Hard Cards, schedule spot checks</t>
  </si>
  <si>
    <t xml:space="preserve">MTVR PMS , CSMP SCRUB </t>
  </si>
  <si>
    <t>Dozer M-1, Hard Cards, Lubricate Dozer Doors, Investigate Dozer 402 Hydraulic Leak under cab</t>
  </si>
  <si>
    <t>Troubleshoot LARC 876 Low Battery Charge, Dry Dock 14-20</t>
  </si>
  <si>
    <t>Troubleshoot 685 Faulty headlight dimmer switch</t>
  </si>
  <si>
    <t>Fix HMMWV 445 Passenger side inoperable parking lights</t>
  </si>
  <si>
    <t>Finish reinstalling doors, hatches on LARC 936</t>
  </si>
  <si>
    <t>LARC Hard Cards, Dress out LARCS, POOW 20-2</t>
  </si>
  <si>
    <t>Finish LARC Checks</t>
  </si>
  <si>
    <t>HMMWV Hard Cards 927, 445; POOW 14-20</t>
  </si>
  <si>
    <t>LARC Checks</t>
  </si>
  <si>
    <t xml:space="preserve">685 METER CHECKS </t>
  </si>
  <si>
    <t>M-2 Hmmwv</t>
  </si>
  <si>
    <t>Add next week's training to worklist</t>
  </si>
  <si>
    <t>HMMWV Hard Card 685, M-1 685</t>
  </si>
  <si>
    <t>LSSV Checks</t>
  </si>
  <si>
    <t xml:space="preserve">685 meter checks </t>
  </si>
  <si>
    <t>Assist with Vest/Life Preserver Checks</t>
  </si>
  <si>
    <t>DML Checks</t>
  </si>
  <si>
    <t>Crew 4 (Thursday)</t>
  </si>
  <si>
    <t>Continue troubleshooting LARC Electrical Issues (Inop horns, wipers, gauges, headlights)</t>
  </si>
  <si>
    <t>Dress out LARCS, Flush 685 Power Steering system</t>
  </si>
  <si>
    <t>File Hard Cards, Update CESE Discrepancy Tracker, Review part requests needed for CESE</t>
  </si>
  <si>
    <t xml:space="preserve"> Flush 685 Power Steering system</t>
  </si>
  <si>
    <t>Re-mount 552 Fuel Sending Unit due to bad seal</t>
  </si>
  <si>
    <t>Fix or replace inoperable windows on HMMWV 685</t>
  </si>
  <si>
    <t xml:space="preserve">Tagout Audit / DCPO PMS </t>
  </si>
  <si>
    <t>LSSV 890, 371 M-1's and Hard Cards</t>
  </si>
  <si>
    <t xml:space="preserve">Investigate Dozer 402 Hydraulic Leak under cab	</t>
  </si>
  <si>
    <t xml:space="preserve">M-1 DOZER , Vest pre checks </t>
  </si>
  <si>
    <t>Personnel with Overdue Training Requirments</t>
  </si>
  <si>
    <t>Deployed:</t>
  </si>
  <si>
    <t>Flush 685 Power Steering system</t>
  </si>
  <si>
    <t>Free up windows on HMMWV 685</t>
  </si>
  <si>
    <t>Leave:</t>
  </si>
  <si>
    <t>-19 August</t>
  </si>
  <si>
    <t>Leave %:</t>
  </si>
  <si>
    <t>TAD %:</t>
  </si>
  <si>
    <t>Total %:</t>
  </si>
  <si>
    <t>Leave #</t>
  </si>
  <si>
    <t>TAD #</t>
  </si>
  <si>
    <t>Team</t>
  </si>
  <si>
    <t>Position</t>
  </si>
  <si>
    <t>Departure Date</t>
  </si>
  <si>
    <t>Return Date</t>
  </si>
  <si>
    <t>BM1 Borges</t>
  </si>
  <si>
    <t>SR Taiwo</t>
  </si>
  <si>
    <t>BMC Noel</t>
  </si>
  <si>
    <t>Week 1 August 2025 Worklist</t>
  </si>
  <si>
    <t>Beach Party Team Patrol Roster</t>
  </si>
  <si>
    <t>Conventional Team 1</t>
  </si>
  <si>
    <t>Conventional Team 2</t>
  </si>
  <si>
    <t>CLZ Team 1</t>
  </si>
  <si>
    <t>CLZ Team 2</t>
  </si>
  <si>
    <t>Position:</t>
  </si>
  <si>
    <t>Name/Rank:</t>
  </si>
  <si>
    <t>Weapons fam</t>
  </si>
  <si>
    <t>Input last hard cards, weapons fam, Schedule spot checks</t>
  </si>
  <si>
    <t>402 Hydraulic Leak, weapons 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</si>
</sst>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charset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  <charset val="1"/>
    </font>
    <font>
      <b/>
      <sz val="12"/>
      <color rgb="FF000000"/>
      <name val="Calibri"/>
      <charset val="1"/>
    </font>
    <font>
      <b/>
      <sz val="13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0"/>
      <name val="Arial"/>
      <family val="2"/>
    </font>
    <font>
      <sz val="14"/>
      <name val="Times New Roman"/>
      <family val="1"/>
    </font>
    <font>
      <b/>
      <sz val="12"/>
      <name val="Times New Roman"/>
      <family val="1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FF0000"/>
      <name val="Calibri"/>
    </font>
    <font>
      <sz val="11"/>
      <color theme="1"/>
      <name val="Calibri"/>
    </font>
    <font>
      <b/>
      <sz val="14"/>
      <name val="Calibri"/>
      <scheme val="minor"/>
    </font>
    <font>
      <b/>
      <sz val="11"/>
      <color rgb="FFFF0000"/>
      <name val="Calibri"/>
      <family val="2"/>
      <scheme val="minor"/>
    </font>
    <font>
      <sz val="12"/>
      <name val="Calibri"/>
      <scheme val="minor"/>
    </font>
    <font>
      <b/>
      <sz val="11"/>
      <color theme="4" tint="0.3999755851924192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theme="6" tint="0.39997558519241921"/>
      <name val="Calibri"/>
      <family val="2"/>
      <scheme val="minor"/>
    </font>
    <font>
      <b/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6" tint="0.39997558519241921"/>
      <name val="Calibri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4" tint="0.79998168889431442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EE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ck">
        <color auto="1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ck">
        <color rgb="FF000000"/>
      </right>
      <top/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 style="double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 style="double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3">
    <xf numFmtId="0" fontId="0" fillId="0" borderId="0"/>
    <xf numFmtId="0" fontId="10" fillId="0" borderId="0">
      <alignment vertical="top"/>
    </xf>
    <xf numFmtId="0" fontId="27" fillId="0" borderId="0" applyNumberFormat="0" applyFill="0" applyBorder="0" applyAlignment="0" applyProtection="0"/>
  </cellStyleXfs>
  <cellXfs count="931">
    <xf numFmtId="0" fontId="0" fillId="0" borderId="0" xfId="0"/>
    <xf numFmtId="0" fontId="0" fillId="0" borderId="0" xfId="0" applyBorder="1"/>
    <xf numFmtId="0" fontId="0" fillId="0" borderId="8" xfId="0" applyBorder="1"/>
    <xf numFmtId="0" fontId="0" fillId="0" borderId="1" xfId="0" applyBorder="1"/>
    <xf numFmtId="0" fontId="0" fillId="0" borderId="9" xfId="0" applyBorder="1"/>
    <xf numFmtId="0" fontId="0" fillId="0" borderId="10" xfId="0" applyBorder="1"/>
    <xf numFmtId="0" fontId="0" fillId="5" borderId="0" xfId="0" applyFill="1" applyBorder="1"/>
    <xf numFmtId="0" fontId="0" fillId="5" borderId="0" xfId="0" applyFill="1"/>
    <xf numFmtId="0" fontId="0" fillId="6" borderId="0" xfId="0" applyFill="1" applyBorder="1"/>
    <xf numFmtId="0" fontId="0" fillId="6" borderId="0" xfId="0" applyFill="1"/>
    <xf numFmtId="0" fontId="0" fillId="7" borderId="0" xfId="0" applyFill="1"/>
    <xf numFmtId="0" fontId="0" fillId="7" borderId="8" xfId="0" applyFill="1" applyBorder="1"/>
    <xf numFmtId="0" fontId="0" fillId="7" borderId="1" xfId="0" applyFill="1" applyBorder="1"/>
    <xf numFmtId="0" fontId="0" fillId="7" borderId="0" xfId="0" applyFill="1" applyBorder="1"/>
    <xf numFmtId="0" fontId="0" fillId="3" borderId="1" xfId="0" applyFill="1" applyBorder="1"/>
    <xf numFmtId="0" fontId="0" fillId="2" borderId="10" xfId="0" applyFill="1" applyBorder="1"/>
    <xf numFmtId="0" fontId="0" fillId="7" borderId="2" xfId="0" applyFill="1" applyBorder="1"/>
    <xf numFmtId="0" fontId="0" fillId="0" borderId="2" xfId="0" applyBorder="1"/>
    <xf numFmtId="0" fontId="0" fillId="3" borderId="10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3" fillId="4" borderId="2" xfId="0" applyFont="1" applyFill="1" applyBorder="1"/>
    <xf numFmtId="0" fontId="3" fillId="4" borderId="1" xfId="0" applyFont="1" applyFill="1" applyBorder="1"/>
    <xf numFmtId="0" fontId="3" fillId="4" borderId="0" xfId="0" applyFont="1" applyFill="1" applyBorder="1"/>
    <xf numFmtId="0" fontId="3" fillId="4" borderId="0" xfId="0" applyFont="1" applyFill="1"/>
    <xf numFmtId="0" fontId="4" fillId="6" borderId="8" xfId="0" applyFont="1" applyFill="1" applyBorder="1"/>
    <xf numFmtId="0" fontId="4" fillId="6" borderId="1" xfId="0" applyFont="1" applyFill="1" applyBorder="1"/>
    <xf numFmtId="0" fontId="4" fillId="6" borderId="1" xfId="0" applyFont="1" applyFill="1" applyBorder="1" applyAlignment="1"/>
    <xf numFmtId="0" fontId="4" fillId="6" borderId="0" xfId="0" applyFont="1" applyFill="1" applyBorder="1"/>
    <xf numFmtId="0" fontId="4" fillId="6" borderId="0" xfId="0" applyFont="1" applyFill="1"/>
    <xf numFmtId="0" fontId="4" fillId="6" borderId="2" xfId="0" applyFont="1" applyFill="1" applyBorder="1"/>
    <xf numFmtId="0" fontId="0" fillId="7" borderId="18" xfId="0" applyFill="1" applyBorder="1"/>
    <xf numFmtId="0" fontId="0" fillId="0" borderId="18" xfId="0" applyBorder="1"/>
    <xf numFmtId="0" fontId="0" fillId="0" borderId="19" xfId="0" applyBorder="1"/>
    <xf numFmtId="0" fontId="4" fillId="6" borderId="18" xfId="0" applyFont="1" applyFill="1" applyBorder="1"/>
    <xf numFmtId="0" fontId="3" fillId="4" borderId="24" xfId="0" applyFont="1" applyFill="1" applyBorder="1"/>
    <xf numFmtId="0" fontId="0" fillId="0" borderId="25" xfId="0" applyBorder="1"/>
    <xf numFmtId="0" fontId="0" fillId="0" borderId="2" xfId="0" applyBorder="1" applyAlignment="1">
      <alignment horizontal="center"/>
    </xf>
    <xf numFmtId="0" fontId="0" fillId="7" borderId="0" xfId="0" applyFill="1" applyAlignment="1">
      <alignment vertical="top" wrapText="1"/>
    </xf>
    <xf numFmtId="0" fontId="0" fillId="7" borderId="8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7" borderId="18" xfId="0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7" borderId="0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20" xfId="0" applyBorder="1" applyAlignment="1">
      <alignment horizontal="center" vertical="top" wrapText="1"/>
    </xf>
    <xf numFmtId="0" fontId="0" fillId="3" borderId="10" xfId="0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7" borderId="9" xfId="0" applyFill="1" applyBorder="1"/>
    <xf numFmtId="0" fontId="0" fillId="7" borderId="20" xfId="0" applyFill="1" applyBorder="1"/>
    <xf numFmtId="0" fontId="0" fillId="7" borderId="10" xfId="0" applyFill="1" applyBorder="1"/>
    <xf numFmtId="0" fontId="0" fillId="7" borderId="19" xfId="0" applyFill="1" applyBorder="1"/>
    <xf numFmtId="0" fontId="3" fillId="6" borderId="12" xfId="0" applyFont="1" applyFill="1" applyBorder="1" applyAlignment="1"/>
    <xf numFmtId="0" fontId="3" fillId="6" borderId="13" xfId="0" applyFont="1" applyFill="1" applyBorder="1" applyAlignment="1">
      <alignment horizontal="center"/>
    </xf>
    <xf numFmtId="0" fontId="3" fillId="6" borderId="7" xfId="0" applyFont="1" applyFill="1" applyBorder="1" applyAlignment="1"/>
    <xf numFmtId="0" fontId="3" fillId="6" borderId="11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/>
    <xf numFmtId="0" fontId="3" fillId="6" borderId="0" xfId="0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4" fillId="6" borderId="15" xfId="0" applyFont="1" applyFill="1" applyBorder="1"/>
    <xf numFmtId="0" fontId="0" fillId="7" borderId="15" xfId="0" applyFill="1" applyBorder="1"/>
    <xf numFmtId="0" fontId="0" fillId="0" borderId="15" xfId="0" applyBorder="1" applyAlignment="1">
      <alignment vertical="top" wrapText="1"/>
    </xf>
    <xf numFmtId="0" fontId="0" fillId="0" borderId="22" xfId="0" applyBorder="1"/>
    <xf numFmtId="0" fontId="7" fillId="4" borderId="0" xfId="0" applyFont="1" applyFill="1" applyBorder="1" applyAlignment="1">
      <alignment horizontal="center"/>
    </xf>
    <xf numFmtId="0" fontId="0" fillId="7" borderId="15" xfId="0" applyFill="1" applyBorder="1" applyAlignment="1">
      <alignment vertical="top" wrapText="1"/>
    </xf>
    <xf numFmtId="0" fontId="0" fillId="0" borderId="15" xfId="0" applyBorder="1"/>
    <xf numFmtId="0" fontId="0" fillId="7" borderId="22" xfId="0" applyFill="1" applyBorder="1"/>
    <xf numFmtId="0" fontId="0" fillId="0" borderId="29" xfId="0" applyBorder="1"/>
    <xf numFmtId="0" fontId="0" fillId="0" borderId="24" xfId="0" applyBorder="1"/>
    <xf numFmtId="0" fontId="0" fillId="0" borderId="0" xfId="0" applyFill="1" applyBorder="1"/>
    <xf numFmtId="0" fontId="0" fillId="0" borderId="30" xfId="0" applyFill="1" applyBorder="1"/>
    <xf numFmtId="0" fontId="0" fillId="0" borderId="31" xfId="0" applyBorder="1"/>
    <xf numFmtId="0" fontId="4" fillId="0" borderId="0" xfId="0" applyFont="1" applyFill="1" applyBorder="1"/>
    <xf numFmtId="0" fontId="0" fillId="0" borderId="0" xfId="0" applyFill="1" applyBorder="1" applyAlignment="1">
      <alignment vertical="top" wrapText="1"/>
    </xf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0" fillId="0" borderId="1" xfId="0" applyFill="1" applyBorder="1"/>
    <xf numFmtId="0" fontId="0" fillId="0" borderId="21" xfId="0" applyFill="1" applyBorder="1"/>
    <xf numFmtId="0" fontId="4" fillId="6" borderId="25" xfId="0" applyFont="1" applyFill="1" applyBorder="1"/>
    <xf numFmtId="0" fontId="4" fillId="6" borderId="4" xfId="0" applyFont="1" applyFill="1" applyBorder="1"/>
    <xf numFmtId="0" fontId="4" fillId="6" borderId="31" xfId="0" applyFont="1" applyFill="1" applyBorder="1" applyAlignment="1"/>
    <xf numFmtId="0" fontId="0" fillId="0" borderId="0" xfId="0" applyFill="1"/>
    <xf numFmtId="0" fontId="3" fillId="6" borderId="26" xfId="0" applyFont="1" applyFill="1" applyBorder="1" applyAlignment="1"/>
    <xf numFmtId="0" fontId="2" fillId="7" borderId="15" xfId="0" applyFont="1" applyFill="1" applyBorder="1" applyAlignment="1"/>
    <xf numFmtId="0" fontId="0" fillId="7" borderId="22" xfId="0" applyFill="1" applyBorder="1" applyAlignment="1"/>
    <xf numFmtId="0" fontId="4" fillId="7" borderId="1" xfId="0" applyFont="1" applyFill="1" applyBorder="1" applyAlignment="1"/>
    <xf numFmtId="0" fontId="4" fillId="7" borderId="4" xfId="0" applyFont="1" applyFill="1" applyBorder="1" applyAlignment="1"/>
    <xf numFmtId="0" fontId="0" fillId="7" borderId="3" xfId="0" applyFill="1" applyBorder="1" applyAlignment="1"/>
    <xf numFmtId="0" fontId="0" fillId="7" borderId="32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4" fillId="0" borderId="4" xfId="0" applyFont="1" applyFill="1" applyBorder="1" applyAlignment="1"/>
    <xf numFmtId="0" fontId="4" fillId="0" borderId="1" xfId="0" applyFont="1" applyFill="1" applyBorder="1" applyAlignment="1"/>
    <xf numFmtId="0" fontId="0" fillId="0" borderId="14" xfId="0" applyFill="1" applyBorder="1" applyAlignment="1"/>
    <xf numFmtId="0" fontId="4" fillId="6" borderId="7" xfId="0" applyFont="1" applyFill="1" applyBorder="1"/>
    <xf numFmtId="0" fontId="4" fillId="6" borderId="23" xfId="0" applyFont="1" applyFill="1" applyBorder="1"/>
    <xf numFmtId="9" fontId="11" fillId="10" borderId="35" xfId="1" applyNumberFormat="1" applyFont="1" applyFill="1" applyBorder="1" applyAlignment="1">
      <alignment horizontal="center"/>
    </xf>
    <xf numFmtId="9" fontId="11" fillId="10" borderId="35" xfId="0" applyNumberFormat="1" applyFont="1" applyFill="1" applyBorder="1" applyAlignment="1">
      <alignment horizontal="center" vertical="top"/>
    </xf>
    <xf numFmtId="0" fontId="12" fillId="0" borderId="35" xfId="1" applyFont="1" applyBorder="1" applyAlignment="1">
      <alignment horizontal="center"/>
    </xf>
    <xf numFmtId="0" fontId="12" fillId="0" borderId="36" xfId="1" applyFont="1" applyBorder="1" applyAlignment="1">
      <alignment horizontal="center"/>
    </xf>
    <xf numFmtId="9" fontId="11" fillId="10" borderId="37" xfId="1" applyNumberFormat="1" applyFont="1" applyFill="1" applyBorder="1" applyAlignment="1">
      <alignment horizontal="center"/>
    </xf>
    <xf numFmtId="0" fontId="3" fillId="6" borderId="18" xfId="0" applyFont="1" applyFill="1" applyBorder="1" applyAlignment="1"/>
    <xf numFmtId="0" fontId="4" fillId="7" borderId="18" xfId="0" applyFont="1" applyFill="1" applyBorder="1" applyAlignment="1"/>
    <xf numFmtId="0" fontId="4" fillId="0" borderId="18" xfId="0" applyFont="1" applyFill="1" applyBorder="1" applyAlignment="1"/>
    <xf numFmtId="0" fontId="4" fillId="7" borderId="31" xfId="0" applyFont="1" applyFill="1" applyBorder="1" applyAlignment="1"/>
    <xf numFmtId="0" fontId="0" fillId="0" borderId="18" xfId="0" applyFill="1" applyBorder="1"/>
    <xf numFmtId="0" fontId="0" fillId="0" borderId="20" xfId="0" applyBorder="1"/>
    <xf numFmtId="0" fontId="0" fillId="0" borderId="2" xfId="0" applyFill="1" applyBorder="1"/>
    <xf numFmtId="0" fontId="4" fillId="6" borderId="4" xfId="0" applyFont="1" applyFill="1" applyBorder="1" applyAlignment="1">
      <alignment horizontal="center"/>
    </xf>
    <xf numFmtId="0" fontId="4" fillId="6" borderId="31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vertical="top" textRotation="90"/>
    </xf>
    <xf numFmtId="0" fontId="4" fillId="6" borderId="1" xfId="0" applyFont="1" applyFill="1" applyBorder="1" applyAlignment="1">
      <alignment horizontal="center" vertical="top" textRotation="90"/>
    </xf>
    <xf numFmtId="9" fontId="11" fillId="10" borderId="52" xfId="1" applyNumberFormat="1" applyFont="1" applyFill="1" applyBorder="1" applyAlignment="1">
      <alignment horizontal="center"/>
    </xf>
    <xf numFmtId="9" fontId="11" fillId="10" borderId="53" xfId="1" applyNumberFormat="1" applyFont="1" applyFill="1" applyBorder="1" applyAlignment="1">
      <alignment horizontal="center"/>
    </xf>
    <xf numFmtId="9" fontId="11" fillId="10" borderId="53" xfId="0" applyNumberFormat="1" applyFont="1" applyFill="1" applyBorder="1" applyAlignment="1">
      <alignment horizontal="center" vertical="top"/>
    </xf>
    <xf numFmtId="0" fontId="12" fillId="0" borderId="53" xfId="1" applyFont="1" applyBorder="1" applyAlignment="1">
      <alignment horizontal="center"/>
    </xf>
    <xf numFmtId="0" fontId="12" fillId="0" borderId="54" xfId="1" applyFont="1" applyBorder="1" applyAlignment="1">
      <alignment horizontal="center"/>
    </xf>
    <xf numFmtId="0" fontId="4" fillId="8" borderId="0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top"/>
    </xf>
    <xf numFmtId="0" fontId="8" fillId="4" borderId="57" xfId="0" applyFont="1" applyFill="1" applyBorder="1" applyAlignment="1"/>
    <xf numFmtId="0" fontId="0" fillId="6" borderId="1" xfId="0" applyFill="1" applyBorder="1"/>
    <xf numFmtId="0" fontId="4" fillId="6" borderId="15" xfId="0" applyFont="1" applyFill="1" applyBorder="1" applyAlignment="1"/>
    <xf numFmtId="0" fontId="0" fillId="7" borderId="29" xfId="0" applyFill="1" applyBorder="1"/>
    <xf numFmtId="9" fontId="20" fillId="10" borderId="37" xfId="1" applyNumberFormat="1" applyFont="1" applyFill="1" applyBorder="1" applyAlignment="1">
      <alignment horizontal="center"/>
    </xf>
    <xf numFmtId="9" fontId="20" fillId="10" borderId="35" xfId="1" applyNumberFormat="1" applyFont="1" applyFill="1" applyBorder="1" applyAlignment="1">
      <alignment horizontal="center"/>
    </xf>
    <xf numFmtId="9" fontId="20" fillId="10" borderId="35" xfId="0" applyNumberFormat="1" applyFont="1" applyFill="1" applyBorder="1" applyAlignment="1">
      <alignment horizontal="center"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top"/>
    </xf>
    <xf numFmtId="0" fontId="3" fillId="0" borderId="0" xfId="0" applyFont="1" applyFill="1" applyBorder="1" applyAlignment="1"/>
    <xf numFmtId="0" fontId="0" fillId="0" borderId="0" xfId="0" applyFill="1" applyBorder="1" applyAlignment="1"/>
    <xf numFmtId="0" fontId="17" fillId="0" borderId="0" xfId="0" applyFont="1" applyFill="1" applyBorder="1" applyAlignment="1"/>
    <xf numFmtId="0" fontId="0" fillId="0" borderId="0" xfId="0" applyFill="1" applyBorder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/>
    <xf numFmtId="0" fontId="5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4" fillId="0" borderId="0" xfId="0" applyFont="1" applyFill="1" applyBorder="1" applyAlignment="1">
      <alignment horizontal="center" vertical="top"/>
    </xf>
    <xf numFmtId="0" fontId="21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vertical="top" textRotation="90"/>
    </xf>
    <xf numFmtId="0" fontId="4" fillId="0" borderId="0" xfId="0" applyFont="1" applyFill="1" applyBorder="1" applyAlignment="1">
      <alignment vertical="top" textRotation="90"/>
    </xf>
    <xf numFmtId="0" fontId="18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horizontal="center" vertical="top" textRotation="90"/>
    </xf>
    <xf numFmtId="0" fontId="8" fillId="0" borderId="0" xfId="0" applyFont="1" applyFill="1" applyBorder="1" applyAlignment="1"/>
    <xf numFmtId="0" fontId="0" fillId="0" borderId="25" xfId="0" applyBorder="1" applyAlignment="1">
      <alignment horizontal="center"/>
    </xf>
    <xf numFmtId="0" fontId="0" fillId="2" borderId="4" xfId="0" applyFill="1" applyBorder="1"/>
    <xf numFmtId="0" fontId="0" fillId="0" borderId="4" xfId="0" applyBorder="1"/>
    <xf numFmtId="0" fontId="4" fillId="6" borderId="4" xfId="0" applyFont="1" applyFill="1" applyBorder="1" applyAlignment="1"/>
    <xf numFmtId="0" fontId="0" fillId="0" borderId="61" xfId="0" applyBorder="1"/>
    <xf numFmtId="0" fontId="0" fillId="3" borderId="4" xfId="0" applyFill="1" applyBorder="1"/>
    <xf numFmtId="0" fontId="0" fillId="7" borderId="4" xfId="0" applyFill="1" applyBorder="1"/>
    <xf numFmtId="0" fontId="0" fillId="7" borderId="31" xfId="0" applyFill="1" applyBorder="1"/>
    <xf numFmtId="0" fontId="0" fillId="3" borderId="21" xfId="0" applyFill="1" applyBorder="1"/>
    <xf numFmtId="0" fontId="0" fillId="7" borderId="1" xfId="0" applyFill="1" applyBorder="1" applyAlignment="1">
      <alignment horizontal="center"/>
    </xf>
    <xf numFmtId="0" fontId="0" fillId="2" borderId="1" xfId="0" applyFill="1" applyBorder="1"/>
    <xf numFmtId="0" fontId="0" fillId="0" borderId="62" xfId="0" applyBorder="1"/>
    <xf numFmtId="0" fontId="0" fillId="0" borderId="65" xfId="0" applyBorder="1"/>
    <xf numFmtId="0" fontId="0" fillId="0" borderId="66" xfId="0" applyBorder="1" applyAlignment="1">
      <alignment horizontal="center"/>
    </xf>
    <xf numFmtId="0" fontId="0" fillId="3" borderId="67" xfId="0" applyFill="1" applyBorder="1"/>
    <xf numFmtId="0" fontId="0" fillId="0" borderId="67" xfId="0" applyBorder="1"/>
    <xf numFmtId="0" fontId="0" fillId="0" borderId="68" xfId="0" applyBorder="1"/>
    <xf numFmtId="0" fontId="0" fillId="0" borderId="66" xfId="0" applyBorder="1"/>
    <xf numFmtId="0" fontId="0" fillId="0" borderId="1" xfId="0" applyBorder="1" applyAlignment="1">
      <alignment horizontal="center"/>
    </xf>
    <xf numFmtId="0" fontId="0" fillId="3" borderId="4" xfId="0" applyFill="1" applyBorder="1" applyAlignment="1">
      <alignment vertical="top" wrapText="1"/>
    </xf>
    <xf numFmtId="0" fontId="4" fillId="8" borderId="63" xfId="0" applyFont="1" applyFill="1" applyBorder="1" applyAlignment="1">
      <alignment horizontal="center" vertical="top"/>
    </xf>
    <xf numFmtId="0" fontId="0" fillId="7" borderId="66" xfId="0" applyFill="1" applyBorder="1"/>
    <xf numFmtId="0" fontId="0" fillId="7" borderId="67" xfId="0" applyFill="1" applyBorder="1"/>
    <xf numFmtId="0" fontId="0" fillId="7" borderId="68" xfId="0" applyFill="1" applyBorder="1"/>
    <xf numFmtId="0" fontId="0" fillId="0" borderId="9" xfId="0" applyFill="1" applyBorder="1"/>
    <xf numFmtId="0" fontId="0" fillId="0" borderId="20" xfId="0" applyFill="1" applyBorder="1"/>
    <xf numFmtId="0" fontId="0" fillId="0" borderId="10" xfId="0" applyFill="1" applyBorder="1"/>
    <xf numFmtId="0" fontId="0" fillId="0" borderId="19" xfId="0" applyFill="1" applyBorder="1"/>
    <xf numFmtId="0" fontId="0" fillId="0" borderId="22" xfId="0" applyFill="1" applyBorder="1"/>
    <xf numFmtId="0" fontId="2" fillId="7" borderId="1" xfId="0" applyFont="1" applyFill="1" applyBorder="1" applyAlignment="1">
      <alignment horizontal="left" vertical="center"/>
    </xf>
    <xf numFmtId="0" fontId="0" fillId="0" borderId="67" xfId="0" applyFill="1" applyBorder="1"/>
    <xf numFmtId="0" fontId="0" fillId="0" borderId="8" xfId="0" applyFill="1" applyBorder="1" applyAlignment="1">
      <alignment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0" fontId="0" fillId="0" borderId="18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15" xfId="0" applyFill="1" applyBorder="1" applyAlignment="1">
      <alignment vertical="top" wrapText="1"/>
    </xf>
    <xf numFmtId="0" fontId="0" fillId="0" borderId="0" xfId="0" applyFill="1" applyAlignment="1">
      <alignment vertical="top" wrapText="1"/>
    </xf>
    <xf numFmtId="0" fontId="2" fillId="7" borderId="1" xfId="0" applyFont="1" applyFill="1" applyBorder="1"/>
    <xf numFmtId="0" fontId="0" fillId="7" borderId="25" xfId="0" applyFill="1" applyBorder="1" applyAlignment="1">
      <alignment horizontal="center" vertical="top" wrapText="1"/>
    </xf>
    <xf numFmtId="0" fontId="0" fillId="7" borderId="4" xfId="0" applyFill="1" applyBorder="1" applyAlignment="1">
      <alignment vertical="top" wrapText="1"/>
    </xf>
    <xf numFmtId="0" fontId="0" fillId="7" borderId="3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6" borderId="4" xfId="0" applyFont="1" applyFill="1" applyBorder="1" applyAlignment="1">
      <alignment horizontal="center" vertical="top"/>
    </xf>
    <xf numFmtId="0" fontId="0" fillId="6" borderId="4" xfId="0" applyFill="1" applyBorder="1"/>
    <xf numFmtId="0" fontId="4" fillId="0" borderId="1" xfId="0" applyFont="1" applyFill="1" applyBorder="1" applyAlignment="1">
      <alignment horizontal="center" vertical="top"/>
    </xf>
    <xf numFmtId="0" fontId="4" fillId="6" borderId="22" xfId="0" applyFont="1" applyFill="1" applyBorder="1" applyAlignment="1">
      <alignment horizontal="center"/>
    </xf>
    <xf numFmtId="0" fontId="0" fillId="0" borderId="4" xfId="0" applyFill="1" applyBorder="1"/>
    <xf numFmtId="0" fontId="0" fillId="0" borderId="21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 vertical="top"/>
    </xf>
    <xf numFmtId="0" fontId="0" fillId="8" borderId="63" xfId="0" applyFill="1" applyBorder="1"/>
    <xf numFmtId="0" fontId="0" fillId="8" borderId="69" xfId="0" applyFill="1" applyBorder="1"/>
    <xf numFmtId="0" fontId="0" fillId="0" borderId="4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top"/>
    </xf>
    <xf numFmtId="0" fontId="0" fillId="3" borderId="1" xfId="0" applyFont="1" applyFill="1" applyBorder="1"/>
    <xf numFmtId="0" fontId="0" fillId="3" borderId="21" xfId="0" applyFont="1" applyFill="1" applyBorder="1"/>
    <xf numFmtId="0" fontId="0" fillId="3" borderId="4" xfId="0" applyFont="1" applyFill="1" applyBorder="1"/>
    <xf numFmtId="0" fontId="0" fillId="0" borderId="25" xfId="0" applyFont="1" applyFill="1" applyBorder="1" applyAlignment="1">
      <alignment horizontal="center"/>
    </xf>
    <xf numFmtId="0" fontId="0" fillId="14" borderId="24" xfId="0" applyFont="1" applyFill="1" applyBorder="1" applyAlignment="1">
      <alignment horizontal="center"/>
    </xf>
    <xf numFmtId="0" fontId="0" fillId="7" borderId="77" xfId="0" applyFill="1" applyBorder="1"/>
    <xf numFmtId="0" fontId="4" fillId="6" borderId="88" xfId="0" applyFont="1" applyFill="1" applyBorder="1"/>
    <xf numFmtId="0" fontId="4" fillId="6" borderId="77" xfId="0" applyFont="1" applyFill="1" applyBorder="1"/>
    <xf numFmtId="0" fontId="4" fillId="6" borderId="85" xfId="0" applyFont="1" applyFill="1" applyBorder="1"/>
    <xf numFmtId="0" fontId="0" fillId="7" borderId="85" xfId="0" applyFill="1" applyBorder="1"/>
    <xf numFmtId="0" fontId="0" fillId="0" borderId="77" xfId="0" applyBorder="1"/>
    <xf numFmtId="0" fontId="0" fillId="0" borderId="85" xfId="0" applyBorder="1" applyAlignment="1">
      <alignment vertical="top" wrapText="1"/>
    </xf>
    <xf numFmtId="0" fontId="0" fillId="7" borderId="90" xfId="0" applyFill="1" applyBorder="1" applyAlignment="1">
      <alignment vertical="top" wrapText="1"/>
    </xf>
    <xf numFmtId="0" fontId="0" fillId="0" borderId="91" xfId="0" applyBorder="1"/>
    <xf numFmtId="0" fontId="0" fillId="7" borderId="90" xfId="0" applyFill="1" applyBorder="1"/>
    <xf numFmtId="0" fontId="2" fillId="0" borderId="0" xfId="0" applyFont="1" applyBorder="1" applyAlignment="1"/>
    <xf numFmtId="0" fontId="0" fillId="0" borderId="93" xfId="0" applyBorder="1"/>
    <xf numFmtId="0" fontId="0" fillId="7" borderId="77" xfId="0" applyFill="1" applyBorder="1" applyAlignment="1">
      <alignment vertical="top" wrapText="1"/>
    </xf>
    <xf numFmtId="0" fontId="0" fillId="7" borderId="93" xfId="0" applyFill="1" applyBorder="1" applyAlignment="1">
      <alignment vertical="top" wrapText="1"/>
    </xf>
    <xf numFmtId="0" fontId="0" fillId="0" borderId="77" xfId="0" applyBorder="1" applyAlignment="1">
      <alignment vertical="top" wrapText="1"/>
    </xf>
    <xf numFmtId="0" fontId="0" fillId="0" borderId="94" xfId="0" applyBorder="1" applyAlignment="1">
      <alignment vertical="top" wrapText="1"/>
    </xf>
    <xf numFmtId="0" fontId="4" fillId="6" borderId="90" xfId="0" applyFont="1" applyFill="1" applyBorder="1"/>
    <xf numFmtId="0" fontId="4" fillId="6" borderId="86" xfId="0" applyFont="1" applyFill="1" applyBorder="1"/>
    <xf numFmtId="0" fontId="0" fillId="0" borderId="95" xfId="0" applyBorder="1"/>
    <xf numFmtId="0" fontId="0" fillId="0" borderId="77" xfId="0" applyFill="1" applyBorder="1"/>
    <xf numFmtId="0" fontId="0" fillId="0" borderId="96" xfId="0" applyBorder="1"/>
    <xf numFmtId="0" fontId="0" fillId="0" borderId="77" xfId="0" applyFill="1" applyBorder="1" applyAlignment="1">
      <alignment vertical="top" wrapText="1"/>
    </xf>
    <xf numFmtId="0" fontId="0" fillId="0" borderId="85" xfId="0" applyFill="1" applyBorder="1" applyAlignment="1">
      <alignment vertical="top" wrapText="1"/>
    </xf>
    <xf numFmtId="0" fontId="0" fillId="0" borderId="85" xfId="0" applyFill="1" applyBorder="1"/>
    <xf numFmtId="0" fontId="0" fillId="0" borderId="97" xfId="0" applyFill="1" applyBorder="1"/>
    <xf numFmtId="0" fontId="0" fillId="0" borderId="91" xfId="0" applyFill="1" applyBorder="1"/>
    <xf numFmtId="0" fontId="0" fillId="0" borderId="98" xfId="0" applyBorder="1"/>
    <xf numFmtId="0" fontId="0" fillId="0" borderId="99" xfId="0" applyBorder="1"/>
    <xf numFmtId="0" fontId="0" fillId="0" borderId="85" xfId="0" applyBorder="1"/>
    <xf numFmtId="0" fontId="0" fillId="0" borderId="86" xfId="0" applyBorder="1"/>
    <xf numFmtId="0" fontId="0" fillId="7" borderId="85" xfId="0" applyFill="1" applyBorder="1" applyAlignment="1">
      <alignment vertical="top" wrapText="1"/>
    </xf>
    <xf numFmtId="0" fontId="0" fillId="7" borderId="100" xfId="0" applyFill="1" applyBorder="1"/>
    <xf numFmtId="0" fontId="0" fillId="7" borderId="91" xfId="0" applyFill="1" applyBorder="1"/>
    <xf numFmtId="0" fontId="0" fillId="4" borderId="73" xfId="0" applyFill="1" applyBorder="1"/>
    <xf numFmtId="0" fontId="4" fillId="6" borderId="90" xfId="0" applyFont="1" applyFill="1" applyBorder="1" applyAlignment="1">
      <alignment horizontal="center"/>
    </xf>
    <xf numFmtId="0" fontId="0" fillId="7" borderId="97" xfId="0" applyFill="1" applyBorder="1"/>
    <xf numFmtId="9" fontId="20" fillId="10" borderId="102" xfId="1" applyNumberFormat="1" applyFont="1" applyFill="1" applyBorder="1" applyAlignment="1">
      <alignment horizontal="center"/>
    </xf>
    <xf numFmtId="9" fontId="20" fillId="10" borderId="103" xfId="1" applyNumberFormat="1" applyFont="1" applyFill="1" applyBorder="1" applyAlignment="1">
      <alignment horizontal="center"/>
    </xf>
    <xf numFmtId="9" fontId="20" fillId="10" borderId="103" xfId="0" applyNumberFormat="1" applyFont="1" applyFill="1" applyBorder="1" applyAlignment="1">
      <alignment horizontal="center" vertical="top"/>
    </xf>
    <xf numFmtId="0" fontId="8" fillId="4" borderId="105" xfId="0" applyFont="1" applyFill="1" applyBorder="1" applyAlignment="1"/>
    <xf numFmtId="0" fontId="4" fillId="6" borderId="77" xfId="0" applyFont="1" applyFill="1" applyBorder="1" applyAlignment="1">
      <alignment horizontal="center"/>
    </xf>
    <xf numFmtId="0" fontId="0" fillId="6" borderId="85" xfId="0" applyFill="1" applyBorder="1"/>
    <xf numFmtId="0" fontId="0" fillId="0" borderId="98" xfId="0" applyFill="1" applyBorder="1"/>
    <xf numFmtId="0" fontId="0" fillId="0" borderId="99" xfId="0" applyFill="1" applyBorder="1"/>
    <xf numFmtId="0" fontId="0" fillId="0" borderId="90" xfId="0" applyFill="1" applyBorder="1"/>
    <xf numFmtId="0" fontId="0" fillId="0" borderId="86" xfId="0" applyFill="1" applyBorder="1"/>
    <xf numFmtId="0" fontId="0" fillId="6" borderId="86" xfId="0" applyFill="1" applyBorder="1"/>
    <xf numFmtId="0" fontId="0" fillId="0" borderId="98" xfId="0" applyFont="1" applyFill="1" applyBorder="1" applyAlignment="1">
      <alignment horizontal="left"/>
    </xf>
    <xf numFmtId="0" fontId="0" fillId="0" borderId="77" xfId="0" applyFont="1" applyFill="1" applyBorder="1" applyAlignment="1">
      <alignment horizontal="left"/>
    </xf>
    <xf numFmtId="0" fontId="0" fillId="0" borderId="90" xfId="0" applyFont="1" applyFill="1" applyBorder="1" applyAlignment="1">
      <alignment horizontal="left"/>
    </xf>
    <xf numFmtId="0" fontId="0" fillId="0" borderId="107" xfId="0" applyFont="1" applyFill="1" applyBorder="1" applyAlignment="1">
      <alignment horizontal="left"/>
    </xf>
    <xf numFmtId="0" fontId="0" fillId="0" borderId="108" xfId="0" applyFont="1" applyFill="1" applyBorder="1" applyAlignment="1">
      <alignment horizontal="center"/>
    </xf>
    <xf numFmtId="0" fontId="0" fillId="0" borderId="108" xfId="0" applyFont="1" applyFill="1" applyBorder="1"/>
    <xf numFmtId="0" fontId="0" fillId="0" borderId="108" xfId="0" applyFont="1" applyFill="1" applyBorder="1" applyAlignment="1">
      <alignment horizontal="center" vertical="top"/>
    </xf>
    <xf numFmtId="0" fontId="4" fillId="0" borderId="108" xfId="0" applyFont="1" applyFill="1" applyBorder="1" applyAlignment="1">
      <alignment horizontal="center" vertical="top"/>
    </xf>
    <xf numFmtId="0" fontId="0" fillId="0" borderId="108" xfId="0" applyFill="1" applyBorder="1"/>
    <xf numFmtId="0" fontId="0" fillId="0" borderId="109" xfId="0" applyFill="1" applyBorder="1"/>
    <xf numFmtId="0" fontId="4" fillId="12" borderId="110" xfId="0" applyFont="1" applyFill="1" applyBorder="1" applyAlignment="1">
      <alignment vertical="top"/>
    </xf>
    <xf numFmtId="0" fontId="4" fillId="8" borderId="110" xfId="0" applyFont="1" applyFill="1" applyBorder="1" applyAlignment="1">
      <alignment horizontal="center" vertical="top"/>
    </xf>
    <xf numFmtId="0" fontId="21" fillId="8" borderId="63" xfId="0" applyFont="1" applyFill="1" applyBorder="1" applyAlignment="1">
      <alignment horizontal="center" vertical="top"/>
    </xf>
    <xf numFmtId="0" fontId="4" fillId="8" borderId="63" xfId="0" applyFont="1" applyFill="1" applyBorder="1" applyAlignment="1">
      <alignment horizontal="left" vertical="top"/>
    </xf>
    <xf numFmtId="0" fontId="19" fillId="8" borderId="63" xfId="0" applyFont="1" applyFill="1" applyBorder="1" applyAlignment="1">
      <alignment vertical="top" textRotation="90"/>
    </xf>
    <xf numFmtId="0" fontId="4" fillId="8" borderId="63" xfId="0" applyFont="1" applyFill="1" applyBorder="1" applyAlignment="1">
      <alignment vertical="top" textRotation="90"/>
    </xf>
    <xf numFmtId="0" fontId="18" fillId="8" borderId="63" xfId="0" applyFont="1" applyFill="1" applyBorder="1" applyAlignment="1">
      <alignment vertical="top"/>
    </xf>
    <xf numFmtId="0" fontId="4" fillId="8" borderId="63" xfId="0" applyFont="1" applyFill="1" applyBorder="1" applyAlignment="1">
      <alignment horizontal="center" vertical="top" textRotation="90"/>
    </xf>
    <xf numFmtId="0" fontId="22" fillId="6" borderId="82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6" borderId="79" xfId="0" applyFont="1" applyFill="1" applyBorder="1" applyAlignment="1"/>
    <xf numFmtId="0" fontId="22" fillId="6" borderId="72" xfId="0" applyFont="1" applyFill="1" applyBorder="1" applyAlignment="1"/>
    <xf numFmtId="0" fontId="22" fillId="6" borderId="74" xfId="0" applyFont="1" applyFill="1" applyBorder="1" applyAlignment="1"/>
    <xf numFmtId="0" fontId="22" fillId="6" borderId="83" xfId="0" applyFont="1" applyFill="1" applyBorder="1" applyAlignment="1"/>
    <xf numFmtId="0" fontId="23" fillId="7" borderId="1" xfId="0" applyFont="1" applyFill="1" applyBorder="1" applyAlignment="1">
      <alignment horizontal="center"/>
    </xf>
    <xf numFmtId="0" fontId="23" fillId="7" borderId="85" xfId="0" applyFont="1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2" fillId="6" borderId="8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7" borderId="14" xfId="0" applyFill="1" applyBorder="1" applyAlignment="1"/>
    <xf numFmtId="0" fontId="0" fillId="7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1" xfId="0" applyBorder="1" applyAlignment="1">
      <alignment horizontal="center"/>
    </xf>
    <xf numFmtId="0" fontId="0" fillId="0" borderId="15" xfId="0" applyFill="1" applyBorder="1" applyAlignment="1"/>
    <xf numFmtId="0" fontId="0" fillId="7" borderId="15" xfId="0" applyFill="1" applyBorder="1" applyAlignment="1"/>
    <xf numFmtId="0" fontId="0" fillId="7" borderId="17" xfId="0" applyFill="1" applyBorder="1" applyAlignment="1"/>
    <xf numFmtId="0" fontId="0" fillId="15" borderId="1" xfId="0" applyFill="1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 vertical="center" textRotation="90"/>
    </xf>
    <xf numFmtId="0" fontId="0" fillId="0" borderId="70" xfId="0" applyBorder="1"/>
    <xf numFmtId="0" fontId="0" fillId="0" borderId="4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9" fontId="20" fillId="0" borderId="0" xfId="1" applyNumberFormat="1" applyFont="1" applyFill="1" applyBorder="1" applyAlignment="1">
      <alignment horizontal="center"/>
    </xf>
    <xf numFmtId="9" fontId="20" fillId="0" borderId="0" xfId="0" applyNumberFormat="1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top" textRotation="90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7" borderId="2" xfId="0" applyFill="1" applyBorder="1" applyAlignment="1">
      <alignment horizontal="center"/>
    </xf>
    <xf numFmtId="0" fontId="0" fillId="0" borderId="2" xfId="0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4" fillId="6" borderId="18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0" fillId="7" borderId="15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9" fillId="8" borderId="63" xfId="0" applyFont="1" applyFill="1" applyBorder="1" applyAlignment="1">
      <alignment horizontal="center" vertical="top" textRotation="90"/>
    </xf>
    <xf numFmtId="0" fontId="0" fillId="7" borderId="2" xfId="0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4" fillId="6" borderId="18" xfId="0" applyFont="1" applyFill="1" applyBorder="1" applyAlignment="1"/>
    <xf numFmtId="0" fontId="0" fillId="16" borderId="0" xfId="0" applyFill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8" xfId="0" applyBorder="1"/>
    <xf numFmtId="0" fontId="0" fillId="0" borderId="108" xfId="0" applyBorder="1" applyAlignment="1">
      <alignment horizontal="center" vertical="center"/>
    </xf>
    <xf numFmtId="0" fontId="3" fillId="6" borderId="113" xfId="0" applyFont="1" applyFill="1" applyBorder="1" applyAlignment="1">
      <alignment vertical="center"/>
    </xf>
    <xf numFmtId="0" fontId="0" fillId="0" borderId="8" xfId="0" applyFill="1" applyBorder="1"/>
    <xf numFmtId="0" fontId="2" fillId="0" borderId="8" xfId="0" applyFont="1" applyBorder="1"/>
    <xf numFmtId="0" fontId="0" fillId="0" borderId="118" xfId="0" applyBorder="1"/>
    <xf numFmtId="0" fontId="0" fillId="0" borderId="116" xfId="0" applyBorder="1"/>
    <xf numFmtId="0" fontId="0" fillId="0" borderId="10" xfId="0" applyBorder="1" applyAlignment="1">
      <alignment horizontal="center" vertical="center"/>
    </xf>
    <xf numFmtId="0" fontId="0" fillId="0" borderId="123" xfId="0" applyBorder="1"/>
    <xf numFmtId="0" fontId="0" fillId="15" borderId="21" xfId="0" applyFill="1" applyBorder="1" applyAlignment="1">
      <alignment horizontal="center" vertical="center"/>
    </xf>
    <xf numFmtId="0" fontId="0" fillId="15" borderId="121" xfId="0" applyFill="1" applyBorder="1"/>
    <xf numFmtId="0" fontId="0" fillId="15" borderId="21" xfId="0" applyFill="1" applyBorder="1"/>
    <xf numFmtId="0" fontId="0" fillId="15" borderId="0" xfId="0" applyFill="1" applyBorder="1"/>
    <xf numFmtId="0" fontId="0" fillId="15" borderId="1" xfId="0" applyFill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0" fontId="0" fillId="15" borderId="116" xfId="0" applyFill="1" applyBorder="1"/>
    <xf numFmtId="0" fontId="0" fillId="15" borderId="114" xfId="0" applyFill="1" applyBorder="1"/>
    <xf numFmtId="0" fontId="0" fillId="15" borderId="21" xfId="0" applyFill="1" applyBorder="1" applyAlignment="1">
      <alignment horizontal="center"/>
    </xf>
    <xf numFmtId="0" fontId="0" fillId="15" borderId="8" xfId="0" applyFill="1" applyBorder="1"/>
    <xf numFmtId="0" fontId="0" fillId="15" borderId="0" xfId="0" applyFill="1"/>
    <xf numFmtId="0" fontId="2" fillId="15" borderId="8" xfId="0" applyFont="1" applyFill="1" applyBorder="1"/>
    <xf numFmtId="0" fontId="0" fillId="15" borderId="27" xfId="0" applyFill="1" applyBorder="1"/>
    <xf numFmtId="0" fontId="0" fillId="15" borderId="15" xfId="0" applyFill="1" applyBorder="1"/>
    <xf numFmtId="0" fontId="22" fillId="6" borderId="0" xfId="0" applyFont="1" applyFill="1" applyBorder="1" applyAlignment="1">
      <alignment horizontal="center"/>
    </xf>
    <xf numFmtId="0" fontId="28" fillId="7" borderId="0" xfId="0" applyFont="1" applyFill="1" applyBorder="1" applyAlignment="1">
      <alignment horizontal="center" vertical="center"/>
    </xf>
    <xf numFmtId="0" fontId="28" fillId="16" borderId="0" xfId="0" applyFont="1" applyFill="1" applyBorder="1" applyAlignment="1">
      <alignment horizontal="center" vertical="center"/>
    </xf>
    <xf numFmtId="0" fontId="6" fillId="6" borderId="123" xfId="0" applyFont="1" applyFill="1" applyBorder="1" applyAlignment="1">
      <alignment horizontal="center"/>
    </xf>
    <xf numFmtId="0" fontId="0" fillId="0" borderId="108" xfId="0" applyBorder="1" applyAlignment="1">
      <alignment horizontal="center"/>
    </xf>
    <xf numFmtId="0" fontId="0" fillId="0" borderId="122" xfId="0" applyBorder="1"/>
    <xf numFmtId="0" fontId="0" fillId="0" borderId="126" xfId="0" applyBorder="1"/>
    <xf numFmtId="0" fontId="0" fillId="15" borderId="7" xfId="0" applyFill="1" applyBorder="1" applyAlignment="1">
      <alignment horizontal="center"/>
    </xf>
    <xf numFmtId="0" fontId="0" fillId="15" borderId="7" xfId="0" applyFill="1" applyBorder="1"/>
    <xf numFmtId="0" fontId="0" fillId="15" borderId="7" xfId="0" applyFill="1" applyBorder="1" applyAlignment="1">
      <alignment horizontal="center" vertical="center"/>
    </xf>
    <xf numFmtId="0" fontId="0" fillId="15" borderId="119" xfId="0" applyFill="1" applyBorder="1"/>
    <xf numFmtId="0" fontId="4" fillId="6" borderId="120" xfId="0" applyFont="1" applyFill="1" applyBorder="1" applyAlignment="1">
      <alignment horizontal="center" vertical="center"/>
    </xf>
    <xf numFmtId="0" fontId="4" fillId="3" borderId="132" xfId="0" applyFont="1" applyFill="1" applyBorder="1" applyAlignment="1">
      <alignment horizontal="center" vertical="center" wrapText="1"/>
    </xf>
    <xf numFmtId="0" fontId="4" fillId="6" borderId="133" xfId="0" applyFont="1" applyFill="1" applyBorder="1" applyAlignment="1">
      <alignment horizontal="center" vertical="center" wrapText="1"/>
    </xf>
    <xf numFmtId="0" fontId="4" fillId="6" borderId="133" xfId="0" applyFont="1" applyFill="1" applyBorder="1" applyAlignment="1">
      <alignment horizontal="center" vertical="center"/>
    </xf>
    <xf numFmtId="9" fontId="4" fillId="7" borderId="133" xfId="0" applyNumberFormat="1" applyFont="1" applyFill="1" applyBorder="1" applyAlignment="1">
      <alignment horizontal="center" vertical="center"/>
    </xf>
    <xf numFmtId="0" fontId="4" fillId="6" borderId="134" xfId="0" applyFont="1" applyFill="1" applyBorder="1" applyAlignment="1">
      <alignment vertical="top"/>
    </xf>
    <xf numFmtId="0" fontId="4" fillId="6" borderId="134" xfId="0" applyFont="1" applyFill="1" applyBorder="1" applyAlignment="1">
      <alignment horizontal="center" vertical="top"/>
    </xf>
    <xf numFmtId="0" fontId="0" fillId="6" borderId="135" xfId="0" applyFill="1" applyBorder="1"/>
    <xf numFmtId="0" fontId="4" fillId="17" borderId="136" xfId="0" applyFont="1" applyFill="1" applyBorder="1" applyAlignment="1">
      <alignment horizontal="center" wrapText="1"/>
    </xf>
    <xf numFmtId="9" fontId="26" fillId="0" borderId="137" xfId="0" applyNumberFormat="1" applyFont="1" applyFill="1" applyBorder="1" applyAlignment="1">
      <alignment horizontal="center" vertical="center"/>
    </xf>
    <xf numFmtId="0" fontId="4" fillId="18" borderId="136" xfId="0" applyFont="1" applyFill="1" applyBorder="1" applyAlignment="1">
      <alignment horizontal="center" vertical="top"/>
    </xf>
    <xf numFmtId="9" fontId="4" fillId="0" borderId="137" xfId="0" applyNumberFormat="1" applyFont="1" applyFill="1" applyBorder="1" applyAlignment="1">
      <alignment horizontal="center" vertical="center" wrapText="1"/>
    </xf>
    <xf numFmtId="0" fontId="4" fillId="19" borderId="136" xfId="0" applyFont="1" applyFill="1" applyBorder="1" applyAlignment="1">
      <alignment horizontal="center" vertical="top"/>
    </xf>
    <xf numFmtId="0" fontId="4" fillId="7" borderId="137" xfId="0" applyFont="1" applyFill="1" applyBorder="1" applyAlignment="1">
      <alignment horizontal="center"/>
    </xf>
    <xf numFmtId="0" fontId="0" fillId="15" borderId="6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15" borderId="8" xfId="0" applyFill="1" applyBorder="1" applyAlignment="1">
      <alignment vertical="center"/>
    </xf>
    <xf numFmtId="0" fontId="0" fillId="0" borderId="118" xfId="0" applyBorder="1" applyAlignment="1">
      <alignment vertical="center"/>
    </xf>
    <xf numFmtId="0" fontId="4" fillId="6" borderId="134" xfId="0" applyFont="1" applyFill="1" applyBorder="1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2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14" xfId="0" applyBorder="1" applyAlignment="1"/>
    <xf numFmtId="0" fontId="0" fillId="0" borderId="9" xfId="0" applyBorder="1" applyAlignment="1"/>
    <xf numFmtId="0" fontId="0" fillId="2" borderId="21" xfId="0" applyFill="1" applyBorder="1"/>
    <xf numFmtId="0" fontId="27" fillId="0" borderId="0" xfId="2"/>
    <xf numFmtId="0" fontId="0" fillId="0" borderId="8" xfId="0" applyBorder="1" applyAlignment="1"/>
    <xf numFmtId="0" fontId="0" fillId="15" borderId="8" xfId="0" applyFill="1" applyBorder="1" applyAlignment="1"/>
    <xf numFmtId="0" fontId="0" fillId="0" borderId="118" xfId="0" applyBorder="1" applyAlignment="1"/>
    <xf numFmtId="0" fontId="0" fillId="15" borderId="114" xfId="0" applyFill="1" applyBorder="1" applyAlignment="1"/>
    <xf numFmtId="0" fontId="29" fillId="0" borderId="0" xfId="0" applyFont="1" applyAlignment="1">
      <alignment vertical="center"/>
    </xf>
    <xf numFmtId="0" fontId="29" fillId="16" borderId="0" xfId="0" applyFont="1" applyFill="1" applyAlignment="1">
      <alignment vertical="center"/>
    </xf>
    <xf numFmtId="0" fontId="4" fillId="0" borderId="0" xfId="0" applyFont="1" applyAlignment="1"/>
    <xf numFmtId="0" fontId="0" fillId="0" borderId="0" xfId="0" applyAlignment="1"/>
    <xf numFmtId="0" fontId="31" fillId="0" borderId="0" xfId="0" applyFont="1" applyAlignment="1"/>
    <xf numFmtId="0" fontId="27" fillId="21" borderId="0" xfId="2" applyFill="1" applyAlignment="1">
      <alignment horizontal="center" vertical="center" wrapText="1"/>
    </xf>
    <xf numFmtId="0" fontId="4" fillId="16" borderId="0" xfId="0" applyFont="1" applyFill="1" applyAlignment="1">
      <alignment vertical="center"/>
    </xf>
    <xf numFmtId="0" fontId="27" fillId="16" borderId="1" xfId="2" applyFill="1" applyBorder="1" applyAlignment="1">
      <alignment vertical="center"/>
    </xf>
    <xf numFmtId="0" fontId="27" fillId="16" borderId="1" xfId="2" applyFill="1" applyBorder="1" applyAlignment="1"/>
    <xf numFmtId="0" fontId="27" fillId="16" borderId="1" xfId="2" applyFill="1" applyBorder="1"/>
    <xf numFmtId="0" fontId="27" fillId="6" borderId="0" xfId="2" applyFill="1" applyBorder="1" applyAlignment="1">
      <alignment horizontal="center"/>
    </xf>
    <xf numFmtId="0" fontId="3" fillId="6" borderId="141" xfId="0" applyFont="1" applyFill="1" applyBorder="1" applyAlignment="1">
      <alignment textRotation="90"/>
    </xf>
    <xf numFmtId="14" fontId="0" fillId="0" borderId="1" xfId="0" applyNumberFormat="1" applyBorder="1"/>
    <xf numFmtId="0" fontId="0" fillId="6" borderId="141" xfId="0" applyFill="1" applyBorder="1"/>
    <xf numFmtId="0" fontId="0" fillId="6" borderId="141" xfId="0" applyFill="1" applyBorder="1" applyAlignment="1">
      <alignment wrapText="1"/>
    </xf>
    <xf numFmtId="0" fontId="3" fillId="6" borderId="142" xfId="0" applyFont="1" applyFill="1" applyBorder="1" applyAlignment="1">
      <alignment textRotation="90"/>
    </xf>
    <xf numFmtId="0" fontId="0" fillId="6" borderId="142" xfId="0" applyFill="1" applyBorder="1"/>
    <xf numFmtId="0" fontId="3" fillId="6" borderId="144" xfId="0" applyFont="1" applyFill="1" applyBorder="1" applyAlignment="1">
      <alignment textRotation="90"/>
    </xf>
    <xf numFmtId="0" fontId="0" fillId="6" borderId="144" xfId="0" applyFill="1" applyBorder="1"/>
    <xf numFmtId="0" fontId="0" fillId="0" borderId="30" xfId="0" applyBorder="1"/>
    <xf numFmtId="0" fontId="3" fillId="6" borderId="28" xfId="0" applyFont="1" applyFill="1" applyBorder="1" applyAlignment="1">
      <alignment textRotation="90"/>
    </xf>
    <xf numFmtId="0" fontId="0" fillId="6" borderId="28" xfId="0" applyFill="1" applyBorder="1"/>
    <xf numFmtId="0" fontId="3" fillId="6" borderId="146" xfId="0" applyFont="1" applyFill="1" applyBorder="1" applyAlignment="1">
      <alignment textRotation="90"/>
    </xf>
    <xf numFmtId="0" fontId="0" fillId="6" borderId="146" xfId="0" applyFill="1" applyBorder="1"/>
    <xf numFmtId="0" fontId="0" fillId="0" borderId="73" xfId="0" applyBorder="1"/>
    <xf numFmtId="0" fontId="3" fillId="6" borderId="147" xfId="0" applyFont="1" applyFill="1" applyBorder="1" applyAlignment="1">
      <alignment textRotation="90"/>
    </xf>
    <xf numFmtId="0" fontId="0" fillId="6" borderId="147" xfId="0" applyFill="1" applyBorder="1"/>
    <xf numFmtId="0" fontId="36" fillId="6" borderId="3" xfId="0" applyFont="1" applyFill="1" applyBorder="1" applyAlignment="1">
      <alignment vertical="center"/>
    </xf>
    <xf numFmtId="0" fontId="29" fillId="0" borderId="0" xfId="0" applyFont="1" applyFill="1" applyBorder="1" applyAlignment="1">
      <alignment vertical="center"/>
    </xf>
    <xf numFmtId="0" fontId="0" fillId="0" borderId="113" xfId="0" applyBorder="1"/>
    <xf numFmtId="0" fontId="3" fillId="6" borderId="62" xfId="0" applyFont="1" applyFill="1" applyBorder="1" applyAlignment="1">
      <alignment textRotation="90"/>
    </xf>
    <xf numFmtId="0" fontId="36" fillId="6" borderId="27" xfId="0" applyFont="1" applyFill="1" applyBorder="1" applyAlignment="1">
      <alignment vertical="center"/>
    </xf>
    <xf numFmtId="0" fontId="3" fillId="6" borderId="113" xfId="0" applyFont="1" applyFill="1" applyBorder="1" applyAlignment="1">
      <alignment textRotation="90"/>
    </xf>
    <xf numFmtId="0" fontId="14" fillId="2" borderId="148" xfId="2" applyFont="1" applyFill="1" applyBorder="1" applyAlignment="1">
      <alignment horizontal="center" textRotation="90" wrapText="1"/>
    </xf>
    <xf numFmtId="0" fontId="14" fillId="23" borderId="63" xfId="2" applyFont="1" applyFill="1" applyBorder="1" applyAlignment="1">
      <alignment horizontal="center" textRotation="90" wrapText="1"/>
    </xf>
    <xf numFmtId="0" fontId="0" fillId="6" borderId="27" xfId="0" applyFill="1" applyBorder="1"/>
    <xf numFmtId="0" fontId="31" fillId="0" borderId="0" xfId="0" applyFont="1" applyFill="1" applyBorder="1" applyAlignment="1"/>
    <xf numFmtId="0" fontId="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27" fillId="0" borderId="0" xfId="2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49" fontId="35" fillId="0" borderId="0" xfId="2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2" fillId="0" borderId="70" xfId="2" applyFont="1" applyFill="1" applyBorder="1" applyAlignment="1"/>
    <xf numFmtId="0" fontId="3" fillId="0" borderId="70" xfId="0" applyFont="1" applyFill="1" applyBorder="1" applyAlignment="1">
      <alignment vertical="center"/>
    </xf>
    <xf numFmtId="0" fontId="29" fillId="0" borderId="70" xfId="0" applyFont="1" applyFill="1" applyBorder="1" applyAlignment="1">
      <alignment vertical="center"/>
    </xf>
    <xf numFmtId="0" fontId="36" fillId="16" borderId="0" xfId="0" applyFont="1" applyFill="1" applyAlignment="1">
      <alignment vertical="center" textRotation="45"/>
    </xf>
    <xf numFmtId="0" fontId="0" fillId="0" borderId="0" xfId="0" applyFont="1" applyAlignment="1"/>
    <xf numFmtId="0" fontId="35" fillId="0" borderId="0" xfId="0" applyFont="1" applyFill="1" applyBorder="1" applyAlignment="1">
      <alignment vertical="center"/>
    </xf>
    <xf numFmtId="0" fontId="40" fillId="6" borderId="63" xfId="2" applyFont="1" applyFill="1" applyBorder="1" applyAlignment="1">
      <alignment horizontal="center"/>
    </xf>
    <xf numFmtId="9" fontId="0" fillId="6" borderId="1" xfId="0" applyNumberFormat="1" applyFill="1" applyBorder="1" applyAlignment="1">
      <alignment wrapText="1"/>
    </xf>
    <xf numFmtId="9" fontId="0" fillId="6" borderId="77" xfId="0" applyNumberFormat="1" applyFill="1" applyBorder="1" applyAlignment="1">
      <alignment wrapText="1"/>
    </xf>
    <xf numFmtId="9" fontId="0" fillId="6" borderId="18" xfId="0" applyNumberFormat="1" applyFill="1" applyBorder="1" applyAlignment="1">
      <alignment wrapText="1"/>
    </xf>
    <xf numFmtId="0" fontId="29" fillId="16" borderId="73" xfId="0" applyFont="1" applyFill="1" applyBorder="1" applyAlignment="1">
      <alignment vertical="center"/>
    </xf>
    <xf numFmtId="0" fontId="31" fillId="0" borderId="73" xfId="0" applyFont="1" applyBorder="1" applyAlignment="1"/>
    <xf numFmtId="0" fontId="29" fillId="0" borderId="30" xfId="0" applyFont="1" applyBorder="1" applyAlignment="1">
      <alignment vertical="center"/>
    </xf>
    <xf numFmtId="0" fontId="0" fillId="16" borderId="30" xfId="0" applyFill="1" applyBorder="1"/>
    <xf numFmtId="0" fontId="31" fillId="0" borderId="30" xfId="0" applyFont="1" applyBorder="1" applyAlignment="1"/>
    <xf numFmtId="0" fontId="9" fillId="8" borderId="0" xfId="0" applyFont="1" applyFill="1" applyBorder="1" applyAlignment="1">
      <alignment vertical="top" textRotation="90"/>
    </xf>
    <xf numFmtId="0" fontId="9" fillId="8" borderId="63" xfId="0" applyFont="1" applyFill="1" applyBorder="1" applyAlignment="1">
      <alignment vertical="top" textRotation="90"/>
    </xf>
    <xf numFmtId="0" fontId="4" fillId="13" borderId="69" xfId="0" applyFont="1" applyFill="1" applyBorder="1" applyAlignment="1">
      <alignment horizontal="center" vertical="top"/>
    </xf>
    <xf numFmtId="0" fontId="4" fillId="22" borderId="69" xfId="0" applyFont="1" applyFill="1" applyBorder="1" applyAlignment="1">
      <alignment horizontal="center" vertical="top"/>
    </xf>
    <xf numFmtId="0" fontId="29" fillId="16" borderId="0" xfId="0" applyFont="1" applyFill="1" applyBorder="1" applyAlignment="1">
      <alignment vertical="center"/>
    </xf>
    <xf numFmtId="0" fontId="3" fillId="6" borderId="62" xfId="0" applyFont="1" applyFill="1" applyBorder="1" applyAlignment="1">
      <alignment horizontal="center" textRotation="90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31" fillId="0" borderId="0" xfId="0" applyFont="1" applyAlignment="1"/>
    <xf numFmtId="0" fontId="35" fillId="0" borderId="0" xfId="0" applyFont="1" applyFill="1" applyBorder="1" applyAlignment="1">
      <alignment vertical="center"/>
    </xf>
    <xf numFmtId="0" fontId="0" fillId="0" borderId="0" xfId="0" applyAlignment="1"/>
    <xf numFmtId="0" fontId="31" fillId="0" borderId="0" xfId="0" applyFont="1" applyAlignment="1"/>
    <xf numFmtId="0" fontId="29" fillId="16" borderId="0" xfId="0" applyFont="1" applyFill="1" applyAlignment="1">
      <alignment horizontal="center" vertical="center"/>
    </xf>
    <xf numFmtId="0" fontId="29" fillId="21" borderId="0" xfId="0" applyFont="1" applyFill="1" applyAlignment="1">
      <alignment horizontal="center" vertical="center"/>
    </xf>
    <xf numFmtId="0" fontId="0" fillId="0" borderId="0" xfId="0" applyAlignment="1"/>
    <xf numFmtId="0" fontId="29" fillId="0" borderId="0" xfId="0" applyFont="1" applyBorder="1" applyAlignment="1">
      <alignment vertical="center"/>
    </xf>
    <xf numFmtId="0" fontId="27" fillId="0" borderId="0" xfId="2" applyBorder="1"/>
    <xf numFmtId="0" fontId="0" fillId="0" borderId="150" xfId="0" applyFont="1" applyBorder="1" applyAlignment="1"/>
    <xf numFmtId="0" fontId="4" fillId="0" borderId="150" xfId="0" applyFont="1" applyBorder="1" applyAlignment="1"/>
    <xf numFmtId="0" fontId="0" fillId="0" borderId="150" xfId="0" applyBorder="1" applyAlignment="1"/>
    <xf numFmtId="0" fontId="31" fillId="0" borderId="150" xfId="0" applyFont="1" applyBorder="1" applyAlignment="1"/>
    <xf numFmtId="0" fontId="36" fillId="6" borderId="70" xfId="0" applyFont="1" applyFill="1" applyBorder="1" applyAlignment="1">
      <alignment horizontal="center" vertical="center"/>
    </xf>
    <xf numFmtId="0" fontId="0" fillId="6" borderId="70" xfId="0" applyFill="1" applyBorder="1" applyAlignment="1">
      <alignment horizontal="center" vertical="center"/>
    </xf>
    <xf numFmtId="0" fontId="36" fillId="6" borderId="124" xfId="0" applyFont="1" applyFill="1" applyBorder="1" applyAlignment="1">
      <alignment horizontal="center" vertical="center"/>
    </xf>
    <xf numFmtId="0" fontId="36" fillId="6" borderId="130" xfId="0" applyFont="1" applyFill="1" applyBorder="1" applyAlignment="1">
      <alignment horizontal="center" vertical="center"/>
    </xf>
    <xf numFmtId="0" fontId="36" fillId="6" borderId="68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7" fillId="21" borderId="48" xfId="2" applyFill="1" applyBorder="1" applyAlignment="1">
      <alignment horizontal="center" vertical="center"/>
    </xf>
    <xf numFmtId="0" fontId="41" fillId="21" borderId="49" xfId="2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16" xfId="0" applyFill="1" applyBorder="1" applyAlignment="1">
      <alignment horizontal="center" vertical="center"/>
    </xf>
    <xf numFmtId="0" fontId="36" fillId="6" borderId="143" xfId="0" applyFont="1" applyFill="1" applyBorder="1" applyAlignment="1">
      <alignment horizontal="center" vertical="center"/>
    </xf>
    <xf numFmtId="0" fontId="36" fillId="6" borderId="22" xfId="0" applyFont="1" applyFill="1" applyBorder="1" applyAlignment="1">
      <alignment horizontal="center" vertical="center"/>
    </xf>
    <xf numFmtId="0" fontId="36" fillId="6" borderId="145" xfId="0" applyFont="1" applyFill="1" applyBorder="1" applyAlignment="1">
      <alignment horizontal="center" vertical="center"/>
    </xf>
    <xf numFmtId="0" fontId="36" fillId="6" borderId="3" xfId="0" applyFont="1" applyFill="1" applyBorder="1" applyAlignment="1">
      <alignment horizontal="center" vertical="center"/>
    </xf>
    <xf numFmtId="0" fontId="35" fillId="17" borderId="0" xfId="2" applyFont="1" applyFill="1" applyBorder="1" applyAlignment="1">
      <alignment horizontal="center"/>
    </xf>
    <xf numFmtId="0" fontId="35" fillId="19" borderId="63" xfId="2" applyFont="1" applyFill="1" applyBorder="1" applyAlignment="1">
      <alignment horizontal="center"/>
    </xf>
    <xf numFmtId="0" fontId="35" fillId="19" borderId="0" xfId="2" applyFont="1" applyFill="1" applyBorder="1" applyAlignment="1">
      <alignment horizontal="center"/>
    </xf>
    <xf numFmtId="0" fontId="39" fillId="6" borderId="1" xfId="2" applyFont="1" applyFill="1" applyBorder="1" applyAlignment="1">
      <alignment horizontal="center"/>
    </xf>
    <xf numFmtId="0" fontId="0" fillId="6" borderId="21" xfId="0" applyFill="1" applyBorder="1" applyAlignment="1">
      <alignment horizontal="center" vertical="center"/>
    </xf>
    <xf numFmtId="0" fontId="0" fillId="6" borderId="121" xfId="0" applyFill="1" applyBorder="1" applyAlignment="1">
      <alignment horizontal="center" vertical="center"/>
    </xf>
    <xf numFmtId="0" fontId="31" fillId="0" borderId="0" xfId="0" applyFont="1" applyAlignment="1"/>
    <xf numFmtId="0" fontId="31" fillId="16" borderId="9" xfId="0" applyFont="1" applyFill="1" applyBorder="1" applyAlignment="1">
      <alignment horizontal="center"/>
    </xf>
    <xf numFmtId="0" fontId="31" fillId="16" borderId="10" xfId="0" applyFont="1" applyFill="1" applyBorder="1" applyAlignment="1">
      <alignment horizontal="center"/>
    </xf>
    <xf numFmtId="0" fontId="31" fillId="16" borderId="140" xfId="0" applyFont="1" applyFill="1" applyBorder="1" applyAlignment="1">
      <alignment horizontal="center"/>
    </xf>
    <xf numFmtId="0" fontId="31" fillId="16" borderId="20" xfId="0" applyFont="1" applyFill="1" applyBorder="1" applyAlignment="1">
      <alignment horizontal="center"/>
    </xf>
    <xf numFmtId="0" fontId="31" fillId="16" borderId="8" xfId="0" applyFont="1" applyFill="1" applyBorder="1" applyAlignment="1">
      <alignment horizontal="center"/>
    </xf>
    <xf numFmtId="0" fontId="31" fillId="16" borderId="1" xfId="0" applyFont="1" applyFill="1" applyBorder="1" applyAlignment="1">
      <alignment horizontal="center"/>
    </xf>
    <xf numFmtId="0" fontId="31" fillId="16" borderId="116" xfId="0" applyFont="1" applyFill="1" applyBorder="1" applyAlignment="1">
      <alignment horizontal="center"/>
    </xf>
    <xf numFmtId="0" fontId="31" fillId="16" borderId="2" xfId="0" applyFont="1" applyFill="1" applyBorder="1" applyAlignment="1">
      <alignment horizontal="center"/>
    </xf>
    <xf numFmtId="49" fontId="33" fillId="22" borderId="6" xfId="2" applyNumberFormat="1" applyFont="1" applyFill="1" applyBorder="1" applyAlignment="1">
      <alignment horizontal="center"/>
    </xf>
    <xf numFmtId="49" fontId="33" fillId="22" borderId="7" xfId="2" applyNumberFormat="1" applyFont="1" applyFill="1" applyBorder="1" applyAlignment="1">
      <alignment horizontal="center"/>
    </xf>
    <xf numFmtId="49" fontId="33" fillId="22" borderId="119" xfId="2" applyNumberFormat="1" applyFont="1" applyFill="1" applyBorder="1" applyAlignment="1">
      <alignment horizontal="center"/>
    </xf>
    <xf numFmtId="49" fontId="33" fillId="22" borderId="26" xfId="2" applyNumberFormat="1" applyFont="1" applyFill="1" applyBorder="1" applyAlignment="1">
      <alignment horizontal="center"/>
    </xf>
    <xf numFmtId="0" fontId="31" fillId="16" borderId="61" xfId="0" applyFont="1" applyFill="1" applyBorder="1" applyAlignment="1">
      <alignment horizontal="center"/>
    </xf>
    <xf numFmtId="0" fontId="31" fillId="16" borderId="4" xfId="0" applyFont="1" applyFill="1" applyBorder="1" applyAlignment="1">
      <alignment horizontal="center"/>
    </xf>
    <xf numFmtId="0" fontId="31" fillId="16" borderId="120" xfId="0" applyFont="1" applyFill="1" applyBorder="1" applyAlignment="1">
      <alignment horizontal="center"/>
    </xf>
    <xf numFmtId="0" fontId="31" fillId="16" borderId="25" xfId="0" applyFont="1" applyFill="1" applyBorder="1" applyAlignment="1">
      <alignment horizontal="center"/>
    </xf>
    <xf numFmtId="0" fontId="27" fillId="16" borderId="8" xfId="2" applyFill="1" applyBorder="1" applyAlignment="1">
      <alignment horizontal="center"/>
    </xf>
    <xf numFmtId="0" fontId="31" fillId="16" borderId="18" xfId="0" applyFont="1" applyFill="1" applyBorder="1" applyAlignment="1">
      <alignment horizontal="center"/>
    </xf>
    <xf numFmtId="0" fontId="31" fillId="16" borderId="3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26" fillId="16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30" fillId="16" borderId="0" xfId="0" applyFont="1" applyFill="1" applyBorder="1" applyAlignment="1">
      <alignment horizontal="center" vertical="center"/>
    </xf>
    <xf numFmtId="0" fontId="30" fillId="16" borderId="73" xfId="0" applyFont="1" applyFill="1" applyBorder="1" applyAlignment="1">
      <alignment horizontal="center" vertical="center"/>
    </xf>
    <xf numFmtId="49" fontId="33" fillId="22" borderId="23" xfId="2" applyNumberFormat="1" applyFont="1" applyFill="1" applyBorder="1" applyAlignment="1">
      <alignment horizontal="center"/>
    </xf>
    <xf numFmtId="0" fontId="29" fillId="16" borderId="0" xfId="0" applyFont="1" applyFill="1" applyAlignment="1">
      <alignment horizontal="center" vertical="center"/>
    </xf>
    <xf numFmtId="0" fontId="36" fillId="16" borderId="0" xfId="0" applyFont="1" applyFill="1" applyBorder="1" applyAlignment="1">
      <alignment horizontal="center" vertical="center" textRotation="45"/>
    </xf>
    <xf numFmtId="0" fontId="36" fillId="16" borderId="73" xfId="0" applyFont="1" applyFill="1" applyBorder="1" applyAlignment="1">
      <alignment horizontal="center" vertical="center" textRotation="45"/>
    </xf>
    <xf numFmtId="0" fontId="26" fillId="16" borderId="30" xfId="0" applyFont="1" applyFill="1" applyBorder="1" applyAlignment="1">
      <alignment horizontal="left" vertical="center"/>
    </xf>
    <xf numFmtId="0" fontId="26" fillId="16" borderId="0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/>
    </xf>
    <xf numFmtId="0" fontId="22" fillId="6" borderId="79" xfId="0" applyFont="1" applyFill="1" applyBorder="1" applyAlignment="1">
      <alignment horizontal="left"/>
    </xf>
    <xf numFmtId="0" fontId="22" fillId="6" borderId="80" xfId="0" applyFont="1" applyFill="1" applyBorder="1" applyAlignment="1">
      <alignment horizontal="left"/>
    </xf>
    <xf numFmtId="0" fontId="22" fillId="6" borderId="74" xfId="0" applyFont="1" applyFill="1" applyBorder="1" applyAlignment="1">
      <alignment horizontal="left"/>
    </xf>
    <xf numFmtId="0" fontId="22" fillId="6" borderId="80" xfId="0" applyFont="1" applyFill="1" applyBorder="1" applyAlignment="1">
      <alignment horizontal="center"/>
    </xf>
    <xf numFmtId="0" fontId="22" fillId="6" borderId="79" xfId="0" applyFont="1" applyFill="1" applyBorder="1" applyAlignment="1">
      <alignment horizontal="center"/>
    </xf>
    <xf numFmtId="0" fontId="22" fillId="6" borderId="74" xfId="0" applyFont="1" applyFill="1" applyBorder="1" applyAlignment="1">
      <alignment horizontal="center"/>
    </xf>
    <xf numFmtId="0" fontId="22" fillId="6" borderId="129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7" borderId="27" xfId="0" applyFont="1" applyFill="1" applyBorder="1" applyAlignment="1">
      <alignment horizontal="center"/>
    </xf>
    <xf numFmtId="0" fontId="1" fillId="7" borderId="113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112" xfId="0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1" fillId="7" borderId="27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 vertical="center" wrapText="1"/>
    </xf>
    <xf numFmtId="0" fontId="28" fillId="7" borderId="113" xfId="0" applyFont="1" applyFill="1" applyBorder="1" applyAlignment="1">
      <alignment horizontal="center" vertical="center"/>
    </xf>
    <xf numFmtId="0" fontId="28" fillId="7" borderId="0" xfId="0" applyFont="1" applyFill="1" applyBorder="1" applyAlignment="1">
      <alignment horizontal="center" vertical="center"/>
    </xf>
    <xf numFmtId="0" fontId="28" fillId="7" borderId="112" xfId="0" applyFont="1" applyFill="1" applyBorder="1" applyAlignment="1">
      <alignment horizontal="center" vertical="center"/>
    </xf>
    <xf numFmtId="0" fontId="28" fillId="7" borderId="29" xfId="0" applyFont="1" applyFill="1" applyBorder="1" applyAlignment="1">
      <alignment horizontal="center" vertical="center"/>
    </xf>
    <xf numFmtId="0" fontId="28" fillId="7" borderId="27" xfId="0" applyFont="1" applyFill="1" applyBorder="1" applyAlignment="1">
      <alignment horizontal="center" vertical="center"/>
    </xf>
    <xf numFmtId="0" fontId="28" fillId="7" borderId="24" xfId="0" applyFont="1" applyFill="1" applyBorder="1" applyAlignment="1">
      <alignment horizontal="center" vertical="center"/>
    </xf>
    <xf numFmtId="0" fontId="0" fillId="7" borderId="113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112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28" fillId="7" borderId="73" xfId="0" applyFont="1" applyFill="1" applyBorder="1" applyAlignment="1">
      <alignment horizontal="center" vertical="center"/>
    </xf>
    <xf numFmtId="0" fontId="28" fillId="7" borderId="115" xfId="0" applyFont="1" applyFill="1" applyBorder="1" applyAlignment="1">
      <alignment horizontal="center" vertical="center"/>
    </xf>
    <xf numFmtId="0" fontId="0" fillId="16" borderId="22" xfId="0" applyFill="1" applyBorder="1" applyAlignment="1">
      <alignment horizontal="center"/>
    </xf>
    <xf numFmtId="0" fontId="0" fillId="16" borderId="27" xfId="0" applyFill="1" applyBorder="1" applyAlignment="1">
      <alignment horizontal="center"/>
    </xf>
    <xf numFmtId="0" fontId="0" fillId="16" borderId="31" xfId="0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 wrapText="1"/>
    </xf>
    <xf numFmtId="0" fontId="0" fillId="16" borderId="25" xfId="0" applyFill="1" applyBorder="1" applyAlignment="1">
      <alignment horizontal="center" vertical="center" wrapText="1"/>
    </xf>
    <xf numFmtId="0" fontId="0" fillId="16" borderId="29" xfId="0" applyFill="1" applyBorder="1" applyAlignment="1">
      <alignment horizontal="center" vertical="center" wrapText="1"/>
    </xf>
    <xf numFmtId="0" fontId="0" fillId="16" borderId="27" xfId="0" applyFill="1" applyBorder="1" applyAlignment="1">
      <alignment horizontal="center" vertical="center" wrapText="1"/>
    </xf>
    <xf numFmtId="0" fontId="0" fillId="16" borderId="24" xfId="0" applyFill="1" applyBorder="1" applyAlignment="1">
      <alignment horizontal="center" vertical="center" wrapText="1"/>
    </xf>
    <xf numFmtId="0" fontId="24" fillId="16" borderId="31" xfId="0" applyFont="1" applyFill="1" applyBorder="1" applyAlignment="1">
      <alignment horizontal="center" vertical="center"/>
    </xf>
    <xf numFmtId="0" fontId="24" fillId="16" borderId="22" xfId="0" applyFont="1" applyFill="1" applyBorder="1" applyAlignment="1">
      <alignment horizontal="center" vertical="center"/>
    </xf>
    <xf numFmtId="0" fontId="24" fillId="16" borderId="25" xfId="0" applyFont="1" applyFill="1" applyBorder="1" applyAlignment="1">
      <alignment horizontal="center" vertical="center"/>
    </xf>
    <xf numFmtId="0" fontId="24" fillId="16" borderId="29" xfId="0" applyFont="1" applyFill="1" applyBorder="1" applyAlignment="1">
      <alignment horizontal="center" vertical="center"/>
    </xf>
    <xf numFmtId="0" fontId="24" fillId="16" borderId="27" xfId="0" applyFont="1" applyFill="1" applyBorder="1" applyAlignment="1">
      <alignment horizontal="center" vertical="center"/>
    </xf>
    <xf numFmtId="0" fontId="24" fillId="16" borderId="24" xfId="0" applyFont="1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0" fillId="16" borderId="22" xfId="0" applyFill="1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16" borderId="24" xfId="0" applyFill="1" applyBorder="1" applyAlignment="1">
      <alignment horizontal="center" vertical="center"/>
    </xf>
    <xf numFmtId="0" fontId="28" fillId="16" borderId="113" xfId="0" applyFont="1" applyFill="1" applyBorder="1" applyAlignment="1">
      <alignment horizontal="center" vertical="center"/>
    </xf>
    <xf numFmtId="0" fontId="28" fillId="16" borderId="0" xfId="0" applyFont="1" applyFill="1" applyBorder="1" applyAlignment="1">
      <alignment horizontal="center" vertical="center"/>
    </xf>
    <xf numFmtId="0" fontId="28" fillId="16" borderId="73" xfId="0" applyFont="1" applyFill="1" applyBorder="1" applyAlignment="1">
      <alignment horizontal="center" vertical="center"/>
    </xf>
    <xf numFmtId="0" fontId="28" fillId="16" borderId="29" xfId="0" applyFont="1" applyFill="1" applyBorder="1" applyAlignment="1">
      <alignment horizontal="center" vertical="center"/>
    </xf>
    <xf numFmtId="0" fontId="28" fillId="16" borderId="27" xfId="0" applyFont="1" applyFill="1" applyBorder="1" applyAlignment="1">
      <alignment horizontal="center" vertical="center"/>
    </xf>
    <xf numFmtId="0" fontId="28" fillId="16" borderId="11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/>
    </xf>
    <xf numFmtId="0" fontId="1" fillId="7" borderId="31" xfId="0" applyFont="1" applyFill="1" applyBorder="1" applyAlignment="1">
      <alignment horizontal="center" vertical="center" wrapText="1"/>
    </xf>
    <xf numFmtId="0" fontId="1" fillId="7" borderId="22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/>
    </xf>
    <xf numFmtId="0" fontId="28" fillId="7" borderId="22" xfId="0" applyFont="1" applyFill="1" applyBorder="1" applyAlignment="1">
      <alignment horizontal="center" vertical="center"/>
    </xf>
    <xf numFmtId="0" fontId="28" fillId="7" borderId="25" xfId="0" applyFont="1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1" fillId="16" borderId="22" xfId="0" applyFont="1" applyFill="1" applyBorder="1" applyAlignment="1">
      <alignment horizontal="center"/>
    </xf>
    <xf numFmtId="0" fontId="1" fillId="16" borderId="27" xfId="0" applyFont="1" applyFill="1" applyBorder="1" applyAlignment="1">
      <alignment horizontal="center"/>
    </xf>
    <xf numFmtId="0" fontId="28" fillId="16" borderId="31" xfId="0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/>
    </xf>
    <xf numFmtId="0" fontId="28" fillId="16" borderId="25" xfId="0" applyFont="1" applyFill="1" applyBorder="1" applyAlignment="1">
      <alignment horizontal="center" vertical="center"/>
    </xf>
    <xf numFmtId="0" fontId="28" fillId="16" borderId="24" xfId="0" applyFont="1" applyFill="1" applyBorder="1" applyAlignment="1">
      <alignment horizontal="center" vertical="center"/>
    </xf>
    <xf numFmtId="0" fontId="1" fillId="16" borderId="31" xfId="0" applyFont="1" applyFill="1" applyBorder="1" applyAlignment="1">
      <alignment horizontal="center" vertical="center"/>
    </xf>
    <xf numFmtId="0" fontId="1" fillId="16" borderId="22" xfId="0" applyFont="1" applyFill="1" applyBorder="1" applyAlignment="1">
      <alignment horizontal="center" vertical="center"/>
    </xf>
    <xf numFmtId="0" fontId="1" fillId="16" borderId="25" xfId="0" applyFont="1" applyFill="1" applyBorder="1" applyAlignment="1">
      <alignment horizontal="center" vertical="center"/>
    </xf>
    <xf numFmtId="0" fontId="1" fillId="16" borderId="29" xfId="0" applyFont="1" applyFill="1" applyBorder="1" applyAlignment="1">
      <alignment horizontal="center" vertical="center"/>
    </xf>
    <xf numFmtId="0" fontId="1" fillId="16" borderId="27" xfId="0" applyFont="1" applyFill="1" applyBorder="1" applyAlignment="1">
      <alignment horizontal="center" vertical="center"/>
    </xf>
    <xf numFmtId="0" fontId="1" fillId="16" borderId="24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6" fillId="6" borderId="6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0" fillId="7" borderId="70" xfId="0" applyFill="1" applyBorder="1" applyAlignment="1">
      <alignment horizontal="center"/>
    </xf>
    <xf numFmtId="0" fontId="1" fillId="7" borderId="68" xfId="0" applyFont="1" applyFill="1" applyBorder="1" applyAlignment="1">
      <alignment horizontal="center" vertical="center"/>
    </xf>
    <xf numFmtId="0" fontId="1" fillId="7" borderId="70" xfId="0" applyFont="1" applyFill="1" applyBorder="1" applyAlignment="1">
      <alignment horizontal="center" vertical="center"/>
    </xf>
    <xf numFmtId="0" fontId="1" fillId="7" borderId="66" xfId="0" applyFont="1" applyFill="1" applyBorder="1" applyAlignment="1">
      <alignment horizontal="center" vertical="center"/>
    </xf>
    <xf numFmtId="0" fontId="28" fillId="7" borderId="68" xfId="0" applyFont="1" applyFill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8" fillId="7" borderId="66" xfId="0" applyFont="1" applyFill="1" applyBorder="1" applyAlignment="1">
      <alignment horizontal="center" vertical="center"/>
    </xf>
    <xf numFmtId="0" fontId="0" fillId="7" borderId="68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0" fillId="7" borderId="66" xfId="0" applyFill="1" applyBorder="1" applyAlignment="1">
      <alignment horizontal="center" vertical="center"/>
    </xf>
    <xf numFmtId="0" fontId="28" fillId="7" borderId="130" xfId="0" applyFont="1" applyFill="1" applyBorder="1" applyAlignment="1">
      <alignment horizontal="center" vertical="center"/>
    </xf>
    <xf numFmtId="0" fontId="3" fillId="6" borderId="127" xfId="0" applyFont="1" applyFill="1" applyBorder="1" applyAlignment="1">
      <alignment horizontal="center" vertical="center"/>
    </xf>
    <xf numFmtId="0" fontId="25" fillId="6" borderId="112" xfId="0" applyFont="1" applyFill="1" applyBorder="1" applyAlignment="1">
      <alignment horizontal="center" vertical="center"/>
    </xf>
    <xf numFmtId="0" fontId="3" fillId="6" borderId="62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85" xfId="0" applyBorder="1" applyAlignment="1"/>
    <xf numFmtId="0" fontId="0" fillId="15" borderId="8" xfId="0" applyFill="1" applyBorder="1" applyAlignment="1"/>
    <xf numFmtId="0" fontId="0" fillId="15" borderId="1" xfId="0" applyFill="1" applyBorder="1" applyAlignment="1"/>
    <xf numFmtId="0" fontId="0" fillId="15" borderId="85" xfId="0" applyFill="1" applyBorder="1" applyAlignment="1"/>
    <xf numFmtId="0" fontId="6" fillId="6" borderId="86" xfId="0" applyFont="1" applyFill="1" applyBorder="1" applyAlignment="1">
      <alignment horizontal="center"/>
    </xf>
    <xf numFmtId="0" fontId="4" fillId="6" borderId="101" xfId="0" applyFont="1" applyFill="1" applyBorder="1" applyAlignment="1">
      <alignment horizontal="center" vertical="center" textRotation="90"/>
    </xf>
    <xf numFmtId="0" fontId="4" fillId="6" borderId="30" xfId="0" applyFont="1" applyFill="1" applyBorder="1" applyAlignment="1">
      <alignment horizontal="center" vertical="center" textRotation="90"/>
    </xf>
    <xf numFmtId="0" fontId="4" fillId="6" borderId="124" xfId="0" applyFont="1" applyFill="1" applyBorder="1" applyAlignment="1">
      <alignment horizontal="center" vertical="center" textRotation="90"/>
    </xf>
    <xf numFmtId="0" fontId="0" fillId="15" borderId="6" xfId="0" applyFill="1" applyBorder="1" applyAlignment="1"/>
    <xf numFmtId="0" fontId="0" fillId="15" borderId="7" xfId="0" applyFill="1" applyBorder="1" applyAlignment="1"/>
    <xf numFmtId="0" fontId="0" fillId="15" borderId="88" xfId="0" applyFill="1" applyBorder="1" applyAlignment="1"/>
    <xf numFmtId="0" fontId="0" fillId="0" borderId="8" xfId="0" applyBorder="1" applyAlignment="1"/>
    <xf numFmtId="0" fontId="3" fillId="6" borderId="113" xfId="0" applyFont="1" applyFill="1" applyBorder="1" applyAlignment="1">
      <alignment horizontal="center" vertical="center"/>
    </xf>
    <xf numFmtId="0" fontId="3" fillId="6" borderId="117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/>
    </xf>
    <xf numFmtId="0" fontId="3" fillId="6" borderId="115" xfId="0" applyFont="1" applyFill="1" applyBorder="1" applyAlignment="1">
      <alignment horizontal="center"/>
    </xf>
    <xf numFmtId="0" fontId="6" fillId="6" borderId="138" xfId="0" applyFont="1" applyFill="1" applyBorder="1" applyAlignment="1">
      <alignment horizontal="center"/>
    </xf>
    <xf numFmtId="0" fontId="4" fillId="20" borderId="101" xfId="0" applyFont="1" applyFill="1" applyBorder="1" applyAlignment="1">
      <alignment horizontal="center" vertical="center" textRotation="90"/>
    </xf>
    <xf numFmtId="0" fontId="4" fillId="20" borderId="30" xfId="0" applyFont="1" applyFill="1" applyBorder="1" applyAlignment="1">
      <alignment horizontal="center" vertical="center" textRotation="90"/>
    </xf>
    <xf numFmtId="0" fontId="4" fillId="20" borderId="124" xfId="0" applyFont="1" applyFill="1" applyBorder="1" applyAlignment="1">
      <alignment horizontal="center" vertical="center" textRotation="90"/>
    </xf>
    <xf numFmtId="0" fontId="0" fillId="15" borderId="114" xfId="0" applyFill="1" applyBorder="1" applyAlignment="1"/>
    <xf numFmtId="0" fontId="0" fillId="15" borderId="21" xfId="0" applyFill="1" applyBorder="1" applyAlignment="1"/>
    <xf numFmtId="0" fontId="0" fillId="15" borderId="99" xfId="0" applyFill="1" applyBorder="1" applyAlignment="1"/>
    <xf numFmtId="0" fontId="0" fillId="0" borderId="118" xfId="0" applyBorder="1" applyAlignment="1"/>
    <xf numFmtId="0" fontId="0" fillId="0" borderId="108" xfId="0" applyBorder="1" applyAlignment="1"/>
    <xf numFmtId="0" fontId="0" fillId="0" borderId="109" xfId="0" applyBorder="1" applyAlignment="1"/>
    <xf numFmtId="0" fontId="4" fillId="20" borderId="128" xfId="0" applyFont="1" applyFill="1" applyBorder="1" applyAlignment="1">
      <alignment horizontal="center" vertical="center" textRotation="90"/>
    </xf>
    <xf numFmtId="0" fontId="0" fillId="0" borderId="18" xfId="0" applyBorder="1" applyAlignment="1"/>
    <xf numFmtId="0" fontId="0" fillId="0" borderId="15" xfId="0" applyBorder="1" applyAlignment="1"/>
    <xf numFmtId="0" fontId="0" fillId="0" borderId="93" xfId="0" applyBorder="1" applyAlignment="1"/>
    <xf numFmtId="0" fontId="0" fillId="0" borderId="2" xfId="0" applyBorder="1" applyAlignment="1"/>
    <xf numFmtId="0" fontId="4" fillId="13" borderId="139" xfId="0" applyFont="1" applyFill="1" applyBorder="1" applyAlignment="1">
      <alignment horizontal="center" vertical="center" textRotation="90"/>
    </xf>
    <xf numFmtId="0" fontId="4" fillId="13" borderId="134" xfId="0" applyFont="1" applyFill="1" applyBorder="1" applyAlignment="1">
      <alignment horizontal="center" vertical="center" textRotation="90"/>
    </xf>
    <xf numFmtId="0" fontId="4" fillId="13" borderId="135" xfId="0" applyFont="1" applyFill="1" applyBorder="1" applyAlignment="1">
      <alignment horizontal="center" vertical="center" textRotation="90"/>
    </xf>
    <xf numFmtId="0" fontId="0" fillId="0" borderId="80" xfId="0" applyBorder="1" applyAlignment="1"/>
    <xf numFmtId="0" fontId="0" fillId="0" borderId="79" xfId="0" applyBorder="1" applyAlignment="1"/>
    <xf numFmtId="0" fontId="0" fillId="0" borderId="74" xfId="0" applyBorder="1" applyAlignment="1"/>
    <xf numFmtId="0" fontId="0" fillId="0" borderId="129" xfId="0" applyBorder="1" applyAlignment="1"/>
    <xf numFmtId="0" fontId="0" fillId="0" borderId="19" xfId="0" applyBorder="1" applyAlignment="1"/>
    <xf numFmtId="0" fontId="0" fillId="0" borderId="17" xfId="0" applyBorder="1" applyAlignment="1"/>
    <xf numFmtId="0" fontId="0" fillId="0" borderId="20" xfId="0" applyBorder="1" applyAlignment="1"/>
    <xf numFmtId="0" fontId="0" fillId="0" borderId="94" xfId="0" applyBorder="1" applyAlignment="1"/>
    <xf numFmtId="0" fontId="0" fillId="15" borderId="72" xfId="0" applyFill="1" applyBorder="1" applyAlignment="1"/>
    <xf numFmtId="0" fontId="4" fillId="8" borderId="101" xfId="0" applyFont="1" applyFill="1" applyBorder="1" applyAlignment="1">
      <alignment horizontal="center" vertical="center" textRotation="90"/>
    </xf>
    <xf numFmtId="0" fontId="4" fillId="8" borderId="30" xfId="0" applyFont="1" applyFill="1" applyBorder="1" applyAlignment="1">
      <alignment horizontal="center" vertical="center" textRotation="90"/>
    </xf>
    <xf numFmtId="0" fontId="4" fillId="8" borderId="124" xfId="0" applyFont="1" applyFill="1" applyBorder="1" applyAlignment="1">
      <alignment horizontal="center" vertical="center" textRotation="90"/>
    </xf>
    <xf numFmtId="0" fontId="0" fillId="0" borderId="4" xfId="0" applyBorder="1" applyAlignment="1"/>
    <xf numFmtId="0" fontId="4" fillId="19" borderId="101" xfId="0" applyFont="1" applyFill="1" applyBorder="1" applyAlignment="1">
      <alignment horizontal="center" vertical="center" textRotation="90"/>
    </xf>
    <xf numFmtId="0" fontId="4" fillId="19" borderId="30" xfId="0" applyFont="1" applyFill="1" applyBorder="1" applyAlignment="1">
      <alignment horizontal="center" vertical="center" textRotation="90"/>
    </xf>
    <xf numFmtId="0" fontId="4" fillId="19" borderId="125" xfId="0" applyFont="1" applyFill="1" applyBorder="1" applyAlignment="1">
      <alignment horizontal="center" vertical="center" textRotation="90"/>
    </xf>
    <xf numFmtId="0" fontId="4" fillId="18" borderId="101" xfId="0" applyFont="1" applyFill="1" applyBorder="1" applyAlignment="1">
      <alignment horizontal="center" vertical="center" textRotation="90"/>
    </xf>
    <xf numFmtId="0" fontId="0" fillId="18" borderId="30" xfId="0" applyFill="1" applyBorder="1" applyAlignment="1">
      <alignment horizontal="center" vertical="center" textRotation="90"/>
    </xf>
    <xf numFmtId="0" fontId="0" fillId="18" borderId="131" xfId="0" applyFill="1" applyBorder="1" applyAlignment="1">
      <alignment horizontal="center" vertical="center" textRotation="90"/>
    </xf>
    <xf numFmtId="0" fontId="14" fillId="0" borderId="153" xfId="0" applyFont="1" applyFill="1" applyBorder="1" applyAlignment="1">
      <alignment horizontal="center"/>
    </xf>
    <xf numFmtId="0" fontId="14" fillId="0" borderId="152" xfId="0" applyFont="1" applyFill="1" applyBorder="1" applyAlignment="1">
      <alignment horizontal="center"/>
    </xf>
    <xf numFmtId="0" fontId="14" fillId="0" borderId="156" xfId="0" applyFont="1" applyFill="1" applyBorder="1" applyAlignment="1">
      <alignment horizontal="center"/>
    </xf>
    <xf numFmtId="0" fontId="0" fillId="0" borderId="152" xfId="0" applyFont="1" applyFill="1" applyBorder="1" applyAlignment="1">
      <alignment horizontal="center" vertical="center"/>
    </xf>
    <xf numFmtId="0" fontId="0" fillId="0" borderId="155" xfId="0" applyFont="1" applyFill="1" applyBorder="1" applyAlignment="1">
      <alignment horizontal="center" vertical="center"/>
    </xf>
    <xf numFmtId="0" fontId="0" fillId="0" borderId="154" xfId="0" applyFont="1" applyFill="1" applyBorder="1" applyAlignment="1">
      <alignment horizontal="center" vertical="center"/>
    </xf>
    <xf numFmtId="0" fontId="27" fillId="21" borderId="0" xfId="2" applyFill="1" applyAlignment="1">
      <alignment horizontal="center" vertical="center"/>
    </xf>
    <xf numFmtId="0" fontId="29" fillId="21" borderId="0" xfId="0" applyFont="1" applyFill="1" applyAlignment="1">
      <alignment horizontal="center" vertical="center"/>
    </xf>
    <xf numFmtId="0" fontId="36" fillId="16" borderId="0" xfId="0" applyFont="1" applyFill="1" applyAlignment="1">
      <alignment horizontal="center" vertical="center" textRotation="45"/>
    </xf>
    <xf numFmtId="0" fontId="3" fillId="0" borderId="0" xfId="0" applyFont="1" applyFill="1" applyBorder="1" applyAlignment="1">
      <alignment horizontal="center"/>
    </xf>
    <xf numFmtId="0" fontId="25" fillId="0" borderId="15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5" fillId="0" borderId="151" xfId="0" applyFont="1" applyFill="1" applyBorder="1" applyAlignment="1">
      <alignment horizontal="center" vertical="center"/>
    </xf>
    <xf numFmtId="0" fontId="25" fillId="0" borderId="0" xfId="2" applyFont="1" applyFill="1" applyBorder="1" applyAlignment="1">
      <alignment horizontal="center" vertical="center"/>
    </xf>
    <xf numFmtId="0" fontId="25" fillId="0" borderId="151" xfId="2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152" xfId="0" applyFont="1" applyFill="1" applyBorder="1" applyAlignment="1">
      <alignment horizontal="center" vertical="center"/>
    </xf>
    <xf numFmtId="0" fontId="4" fillId="0" borderId="154" xfId="0" applyFont="1" applyFill="1" applyBorder="1" applyAlignment="1">
      <alignment horizontal="center" vertical="center"/>
    </xf>
    <xf numFmtId="0" fontId="4" fillId="0" borderId="153" xfId="0" applyFont="1" applyFill="1" applyBorder="1" applyAlignment="1">
      <alignment horizontal="center" vertical="center"/>
    </xf>
    <xf numFmtId="0" fontId="4" fillId="0" borderId="156" xfId="0" applyFont="1" applyFill="1" applyBorder="1" applyAlignment="1">
      <alignment horizontal="center" vertical="center"/>
    </xf>
    <xf numFmtId="0" fontId="4" fillId="0" borderId="155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7" fillId="0" borderId="0" xfId="2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49" fontId="35" fillId="0" borderId="0" xfId="2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5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vertical="center"/>
    </xf>
    <xf numFmtId="0" fontId="0" fillId="0" borderId="0" xfId="0" applyAlignment="1"/>
    <xf numFmtId="0" fontId="3" fillId="0" borderId="70" xfId="0" applyFont="1" applyFill="1" applyBorder="1" applyAlignment="1">
      <alignment horizontal="center"/>
    </xf>
    <xf numFmtId="0" fontId="14" fillId="0" borderId="0" xfId="2" applyFont="1" applyFill="1" applyBorder="1" applyAlignment="1">
      <alignment horizontal="center" vertical="center"/>
    </xf>
    <xf numFmtId="0" fontId="34" fillId="0" borderId="0" xfId="2" applyFont="1" applyFill="1" applyBorder="1" applyAlignment="1">
      <alignment horizontal="center" vertical="center"/>
    </xf>
    <xf numFmtId="0" fontId="25" fillId="0" borderId="70" xfId="0" applyFont="1" applyFill="1" applyBorder="1" applyAlignment="1">
      <alignment horizontal="center" vertical="center"/>
    </xf>
    <xf numFmtId="0" fontId="3" fillId="0" borderId="70" xfId="0" applyFont="1" applyFill="1" applyBorder="1" applyAlignment="1">
      <alignment horizontal="center" vertical="center"/>
    </xf>
    <xf numFmtId="0" fontId="25" fillId="0" borderId="70" xfId="2" applyFont="1" applyFill="1" applyBorder="1" applyAlignment="1">
      <alignment horizontal="center" vertical="center"/>
    </xf>
    <xf numFmtId="0" fontId="37" fillId="0" borderId="70" xfId="2" applyFont="1" applyFill="1" applyBorder="1" applyAlignment="1">
      <alignment horizontal="center" vertical="center"/>
    </xf>
    <xf numFmtId="0" fontId="36" fillId="6" borderId="18" xfId="0" applyFont="1" applyFill="1" applyBorder="1" applyAlignment="1">
      <alignment horizontal="center" vertical="center"/>
    </xf>
    <xf numFmtId="0" fontId="36" fillId="6" borderId="15" xfId="0" applyFont="1" applyFill="1" applyBorder="1" applyAlignment="1">
      <alignment horizontal="center" vertical="center"/>
    </xf>
    <xf numFmtId="0" fontId="42" fillId="21" borderId="49" xfId="2" applyFont="1" applyFill="1" applyBorder="1" applyAlignment="1">
      <alignment horizontal="center" vertical="center"/>
    </xf>
    <xf numFmtId="0" fontId="36" fillId="6" borderId="2" xfId="0" applyFont="1" applyFill="1" applyBorder="1" applyAlignment="1">
      <alignment horizontal="center" vertical="center"/>
    </xf>
    <xf numFmtId="0" fontId="36" fillId="6" borderId="29" xfId="0" applyFont="1" applyFill="1" applyBorder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4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8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84" xfId="0" applyFont="1" applyFill="1" applyBorder="1" applyAlignment="1">
      <alignment horizontal="left"/>
    </xf>
    <xf numFmtId="0" fontId="1" fillId="0" borderId="15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22" fillId="6" borderId="78" xfId="0" applyFont="1" applyFill="1" applyBorder="1" applyAlignment="1">
      <alignment horizontal="left"/>
    </xf>
    <xf numFmtId="0" fontId="1" fillId="7" borderId="84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7" borderId="8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17" fillId="7" borderId="84" xfId="0" applyFont="1" applyFill="1" applyBorder="1" applyAlignment="1">
      <alignment horizontal="center"/>
    </xf>
    <xf numFmtId="0" fontId="17" fillId="7" borderId="15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23" fillId="7" borderId="18" xfId="0" applyFont="1" applyFill="1" applyBorder="1" applyAlignment="1">
      <alignment horizontal="center"/>
    </xf>
    <xf numFmtId="0" fontId="23" fillId="7" borderId="2" xfId="0" applyFont="1" applyFill="1" applyBorder="1" applyAlignment="1">
      <alignment horizontal="center"/>
    </xf>
    <xf numFmtId="0" fontId="18" fillId="0" borderId="45" xfId="0" applyFont="1" applyBorder="1" applyAlignment="1">
      <alignment horizontal="center" vertical="top"/>
    </xf>
    <xf numFmtId="0" fontId="18" fillId="0" borderId="38" xfId="0" applyFont="1" applyBorder="1" applyAlignment="1">
      <alignment horizontal="center" vertical="top"/>
    </xf>
    <xf numFmtId="0" fontId="18" fillId="0" borderId="40" xfId="0" applyFont="1" applyBorder="1" applyAlignment="1">
      <alignment horizontal="center" vertical="top"/>
    </xf>
    <xf numFmtId="0" fontId="8" fillId="4" borderId="104" xfId="0" applyFont="1" applyFill="1" applyBorder="1" applyAlignment="1">
      <alignment horizontal="center"/>
    </xf>
    <xf numFmtId="0" fontId="8" fillId="4" borderId="57" xfId="0" applyFont="1" applyFill="1" applyBorder="1" applyAlignment="1">
      <alignment horizontal="center"/>
    </xf>
    <xf numFmtId="0" fontId="18" fillId="0" borderId="46" xfId="0" applyFont="1" applyBorder="1" applyAlignment="1">
      <alignment horizontal="center" vertical="top"/>
    </xf>
    <xf numFmtId="0" fontId="18" fillId="0" borderId="39" xfId="0" applyFont="1" applyBorder="1" applyAlignment="1">
      <alignment horizontal="center" vertical="top"/>
    </xf>
    <xf numFmtId="0" fontId="18" fillId="0" borderId="41" xfId="0" applyFont="1" applyBorder="1" applyAlignment="1">
      <alignment horizontal="center" vertical="top"/>
    </xf>
    <xf numFmtId="0" fontId="0" fillId="7" borderId="19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18" fillId="9" borderId="42" xfId="0" applyFont="1" applyFill="1" applyBorder="1" applyAlignment="1">
      <alignment horizontal="center" vertical="top"/>
    </xf>
    <xf numFmtId="0" fontId="18" fillId="9" borderId="43" xfId="0" applyFont="1" applyFill="1" applyBorder="1" applyAlignment="1">
      <alignment horizontal="center" vertical="top"/>
    </xf>
    <xf numFmtId="0" fontId="18" fillId="9" borderId="44" xfId="0" applyFont="1" applyFill="1" applyBorder="1" applyAlignment="1">
      <alignment horizontal="center" vertical="top"/>
    </xf>
    <xf numFmtId="0" fontId="18" fillId="12" borderId="101" xfId="0" applyFont="1" applyFill="1" applyBorder="1" applyAlignment="1">
      <alignment horizontal="center" vertical="top"/>
    </xf>
    <xf numFmtId="0" fontId="18" fillId="12" borderId="5" xfId="0" applyFont="1" applyFill="1" applyBorder="1" applyAlignment="1">
      <alignment horizontal="center" vertical="top"/>
    </xf>
    <xf numFmtId="0" fontId="18" fillId="12" borderId="55" xfId="0" applyFont="1" applyFill="1" applyBorder="1" applyAlignment="1">
      <alignment horizontal="center" vertical="top"/>
    </xf>
    <xf numFmtId="9" fontId="20" fillId="10" borderId="58" xfId="1" applyNumberFormat="1" applyFont="1" applyFill="1" applyBorder="1" applyAlignment="1">
      <alignment horizontal="center"/>
    </xf>
    <xf numFmtId="9" fontId="20" fillId="10" borderId="43" xfId="1" applyNumberFormat="1" applyFont="1" applyFill="1" applyBorder="1" applyAlignment="1">
      <alignment horizontal="center"/>
    </xf>
    <xf numFmtId="9" fontId="20" fillId="10" borderId="59" xfId="1" applyNumberFormat="1" applyFont="1" applyFill="1" applyBorder="1" applyAlignment="1">
      <alignment horizontal="center"/>
    </xf>
    <xf numFmtId="0" fontId="18" fillId="11" borderId="45" xfId="0" applyFont="1" applyFill="1" applyBorder="1" applyAlignment="1">
      <alignment horizontal="center" vertical="top"/>
    </xf>
    <xf numFmtId="0" fontId="18" fillId="11" borderId="38" xfId="0" applyFont="1" applyFill="1" applyBorder="1" applyAlignment="1">
      <alignment horizontal="center" vertical="top"/>
    </xf>
    <xf numFmtId="0" fontId="18" fillId="11" borderId="40" xfId="0" applyFont="1" applyFill="1" applyBorder="1" applyAlignment="1">
      <alignment horizontal="center" vertical="top"/>
    </xf>
    <xf numFmtId="0" fontId="18" fillId="13" borderId="30" xfId="0" applyFont="1" applyFill="1" applyBorder="1" applyAlignment="1">
      <alignment horizontal="center" vertical="top"/>
    </xf>
    <xf numFmtId="0" fontId="18" fillId="13" borderId="0" xfId="0" applyFont="1" applyFill="1" applyBorder="1" applyAlignment="1">
      <alignment horizontal="center" vertical="top"/>
    </xf>
    <xf numFmtId="0" fontId="18" fillId="13" borderId="56" xfId="0" applyFont="1" applyFill="1" applyBorder="1" applyAlignment="1">
      <alignment horizontal="center" vertical="top"/>
    </xf>
    <xf numFmtId="9" fontId="20" fillId="10" borderId="53" xfId="1" applyNumberFormat="1" applyFont="1" applyFill="1" applyBorder="1" applyAlignment="1">
      <alignment horizontal="center"/>
    </xf>
    <xf numFmtId="9" fontId="20" fillId="10" borderId="38" xfId="1" applyNumberFormat="1" applyFont="1" applyFill="1" applyBorder="1" applyAlignment="1">
      <alignment horizontal="center"/>
    </xf>
    <xf numFmtId="9" fontId="20" fillId="10" borderId="60" xfId="1" applyNumberFormat="1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69" xfId="0" applyFill="1" applyBorder="1" applyAlignment="1">
      <alignment horizontal="center"/>
    </xf>
    <xf numFmtId="0" fontId="0" fillId="7" borderId="66" xfId="0" applyFill="1" applyBorder="1" applyAlignment="1">
      <alignment horizontal="center"/>
    </xf>
    <xf numFmtId="0" fontId="18" fillId="10" borderId="45" xfId="0" applyFont="1" applyFill="1" applyBorder="1" applyAlignment="1">
      <alignment horizontal="center" vertical="top"/>
    </xf>
    <xf numFmtId="0" fontId="18" fillId="10" borderId="38" xfId="0" applyFont="1" applyFill="1" applyBorder="1" applyAlignment="1">
      <alignment horizontal="center" vertical="top"/>
    </xf>
    <xf numFmtId="0" fontId="18" fillId="10" borderId="40" xfId="0" applyFont="1" applyFill="1" applyBorder="1" applyAlignment="1">
      <alignment horizontal="center" vertical="top"/>
    </xf>
    <xf numFmtId="0" fontId="18" fillId="10" borderId="30" xfId="0" applyFont="1" applyFill="1" applyBorder="1" applyAlignment="1">
      <alignment horizontal="center" vertical="top"/>
    </xf>
    <xf numFmtId="0" fontId="18" fillId="10" borderId="0" xfId="0" applyFont="1" applyFill="1" applyBorder="1" applyAlignment="1">
      <alignment horizontal="center" vertical="top"/>
    </xf>
    <xf numFmtId="0" fontId="18" fillId="10" borderId="56" xfId="0" applyFont="1" applyFill="1" applyBorder="1" applyAlignment="1">
      <alignment horizontal="center" vertical="top"/>
    </xf>
    <xf numFmtId="9" fontId="20" fillId="10" borderId="53" xfId="0" applyNumberFormat="1" applyFont="1" applyFill="1" applyBorder="1" applyAlignment="1">
      <alignment horizontal="center" vertical="top"/>
    </xf>
    <xf numFmtId="9" fontId="20" fillId="10" borderId="38" xfId="0" applyNumberFormat="1" applyFont="1" applyFill="1" applyBorder="1" applyAlignment="1">
      <alignment horizontal="center" vertical="top"/>
    </xf>
    <xf numFmtId="9" fontId="20" fillId="10" borderId="60" xfId="0" applyNumberFormat="1" applyFont="1" applyFill="1" applyBorder="1" applyAlignment="1">
      <alignment horizontal="center" vertical="top"/>
    </xf>
    <xf numFmtId="0" fontId="6" fillId="6" borderId="8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18" xfId="0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89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2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0" fillId="7" borderId="1" xfId="0" applyFill="1" applyBorder="1" applyAlignment="1">
      <alignment horizontal="left" vertical="top"/>
    </xf>
    <xf numFmtId="0" fontId="0" fillId="0" borderId="65" xfId="0" applyBorder="1" applyAlignment="1">
      <alignment horizontal="left"/>
    </xf>
    <xf numFmtId="0" fontId="0" fillId="0" borderId="67" xfId="0" applyBorder="1" applyAlignment="1">
      <alignment horizontal="left"/>
    </xf>
    <xf numFmtId="0" fontId="0" fillId="7" borderId="1" xfId="0" applyFill="1" applyBorder="1" applyAlignment="1">
      <alignment horizontal="left"/>
    </xf>
    <xf numFmtId="0" fontId="9" fillId="8" borderId="149" xfId="0" applyFont="1" applyFill="1" applyBorder="1" applyAlignment="1">
      <alignment horizontal="center" vertical="top" textRotation="90"/>
    </xf>
    <xf numFmtId="0" fontId="0" fillId="0" borderId="16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2" fillId="7" borderId="8" xfId="0" applyFont="1" applyFill="1" applyBorder="1" applyAlignment="1">
      <alignment horizontal="left" vertical="top"/>
    </xf>
    <xf numFmtId="0" fontId="0" fillId="7" borderId="8" xfId="0" applyFill="1" applyBorder="1" applyAlignment="1">
      <alignment horizontal="left"/>
    </xf>
    <xf numFmtId="0" fontId="0" fillId="7" borderId="14" xfId="0" applyFill="1" applyBorder="1" applyAlignment="1">
      <alignment horizontal="left" vertical="top" wrapText="1"/>
    </xf>
    <xf numFmtId="0" fontId="0" fillId="7" borderId="15" xfId="0" applyFill="1" applyBorder="1" applyAlignment="1">
      <alignment horizontal="left" vertical="top" wrapText="1"/>
    </xf>
    <xf numFmtId="0" fontId="7" fillId="4" borderId="64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47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left"/>
    </xf>
    <xf numFmtId="0" fontId="6" fillId="6" borderId="25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0" fontId="0" fillId="0" borderId="8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7" borderId="14" xfId="0" applyFill="1" applyBorder="1" applyAlignment="1">
      <alignment horizontal="left"/>
    </xf>
    <xf numFmtId="0" fontId="0" fillId="7" borderId="15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8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top"/>
    </xf>
    <xf numFmtId="0" fontId="0" fillId="7" borderId="3" xfId="0" applyFill="1" applyBorder="1" applyAlignment="1">
      <alignment horizontal="left"/>
    </xf>
    <xf numFmtId="0" fontId="0" fillId="7" borderId="22" xfId="0" applyFill="1" applyBorder="1" applyAlignment="1">
      <alignment horizontal="left"/>
    </xf>
    <xf numFmtId="0" fontId="0" fillId="7" borderId="25" xfId="0" applyFill="1" applyBorder="1" applyAlignment="1">
      <alignment horizontal="left"/>
    </xf>
    <xf numFmtId="0" fontId="8" fillId="4" borderId="92" xfId="0" applyFont="1" applyFill="1" applyBorder="1" applyAlignment="1">
      <alignment horizontal="center"/>
    </xf>
    <xf numFmtId="0" fontId="8" fillId="4" borderId="27" xfId="0" applyFont="1" applyFill="1" applyBorder="1" applyAlignment="1">
      <alignment horizontal="center"/>
    </xf>
    <xf numFmtId="0" fontId="8" fillId="4" borderId="71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7" borderId="3" xfId="0" applyFill="1" applyBorder="1" applyAlignment="1">
      <alignment horizontal="left" vertical="top" wrapText="1"/>
    </xf>
    <xf numFmtId="0" fontId="0" fillId="7" borderId="22" xfId="0" applyFill="1" applyBorder="1" applyAlignment="1">
      <alignment horizontal="left" vertical="top" wrapText="1"/>
    </xf>
    <xf numFmtId="0" fontId="0" fillId="7" borderId="25" xfId="0" applyFill="1" applyBorder="1" applyAlignment="1">
      <alignment horizontal="left" vertical="top" wrapText="1"/>
    </xf>
    <xf numFmtId="0" fontId="4" fillId="7" borderId="10" xfId="0" applyFont="1" applyFill="1" applyBorder="1" applyAlignment="1">
      <alignment horizontal="left"/>
    </xf>
    <xf numFmtId="0" fontId="4" fillId="7" borderId="4" xfId="0" applyFont="1" applyFill="1" applyBorder="1" applyAlignment="1">
      <alignment horizontal="left"/>
    </xf>
    <xf numFmtId="0" fontId="3" fillId="6" borderId="28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34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left"/>
    </xf>
    <xf numFmtId="0" fontId="6" fillId="6" borderId="7" xfId="0" applyFont="1" applyFill="1" applyBorder="1" applyAlignment="1">
      <alignment horizontal="left"/>
    </xf>
    <xf numFmtId="0" fontId="3" fillId="6" borderId="87" xfId="0" applyFont="1" applyFill="1" applyBorder="1" applyAlignment="1">
      <alignment horizontal="center"/>
    </xf>
    <xf numFmtId="0" fontId="3" fillId="6" borderId="49" xfId="0" applyFont="1" applyFill="1" applyBorder="1" applyAlignment="1">
      <alignment horizontal="center"/>
    </xf>
    <xf numFmtId="0" fontId="3" fillId="6" borderId="51" xfId="0" applyFont="1" applyFill="1" applyBorder="1" applyAlignment="1">
      <alignment horizontal="center"/>
    </xf>
    <xf numFmtId="0" fontId="6" fillId="6" borderId="48" xfId="0" applyFont="1" applyFill="1" applyBorder="1" applyAlignment="1">
      <alignment horizontal="left"/>
    </xf>
    <xf numFmtId="0" fontId="6" fillId="6" borderId="49" xfId="0" applyFont="1" applyFill="1" applyBorder="1" applyAlignment="1">
      <alignment horizontal="left"/>
    </xf>
    <xf numFmtId="0" fontId="6" fillId="6" borderId="50" xfId="0" applyFont="1" applyFill="1" applyBorder="1" applyAlignment="1">
      <alignment horizontal="left"/>
    </xf>
    <xf numFmtId="0" fontId="0" fillId="7" borderId="111" xfId="0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0" fontId="0" fillId="0" borderId="15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9" fillId="8" borderId="0" xfId="0" applyFont="1" applyFill="1" applyBorder="1" applyAlignment="1">
      <alignment horizontal="center" vertical="top" textRotation="90"/>
    </xf>
    <xf numFmtId="0" fontId="3" fillId="6" borderId="11" xfId="0" applyFont="1" applyFill="1" applyBorder="1" applyAlignment="1">
      <alignment horizontal="left"/>
    </xf>
    <xf numFmtId="0" fontId="3" fillId="6" borderId="12" xfId="0" applyFont="1" applyFill="1" applyBorder="1" applyAlignment="1">
      <alignment horizontal="left"/>
    </xf>
    <xf numFmtId="0" fontId="3" fillId="6" borderId="26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0" fontId="0" fillId="7" borderId="18" xfId="0" applyFill="1" applyBorder="1" applyAlignment="1">
      <alignment horizontal="center" vertical="top" wrapText="1"/>
    </xf>
    <xf numFmtId="0" fontId="0" fillId="7" borderId="15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8" xfId="0" applyFont="1" applyFill="1" applyBorder="1" applyAlignment="1"/>
    <xf numFmtId="0" fontId="0" fillId="0" borderId="2" xfId="0" applyFont="1" applyFill="1" applyBorder="1" applyAlignment="1"/>
    <xf numFmtId="0" fontId="0" fillId="0" borderId="75" xfId="0" applyFont="1" applyFill="1" applyBorder="1" applyAlignment="1"/>
    <xf numFmtId="0" fontId="0" fillId="0" borderId="76" xfId="0" applyFont="1" applyFill="1" applyBorder="1" applyAlignment="1"/>
    <xf numFmtId="0" fontId="8" fillId="4" borderId="106" xfId="0" applyFont="1" applyFill="1" applyBorder="1" applyAlignment="1">
      <alignment horizontal="center"/>
    </xf>
    <xf numFmtId="0" fontId="8" fillId="4" borderId="72" xfId="0" applyFont="1" applyFill="1" applyBorder="1" applyAlignment="1">
      <alignment horizontal="center"/>
    </xf>
    <xf numFmtId="0" fontId="0" fillId="0" borderId="18" xfId="0" applyFill="1" applyBorder="1" applyAlignment="1"/>
    <xf numFmtId="0" fontId="0" fillId="0" borderId="2" xfId="0" applyFill="1" applyBorder="1" applyAlignment="1"/>
    <xf numFmtId="0" fontId="4" fillId="6" borderId="18" xfId="0" applyFont="1" applyFill="1" applyBorder="1" applyAlignment="1"/>
    <xf numFmtId="0" fontId="4" fillId="6" borderId="2" xfId="0" applyFont="1" applyFill="1" applyBorder="1" applyAlignment="1"/>
    <xf numFmtId="0" fontId="0" fillId="0" borderId="75" xfId="0" applyFill="1" applyBorder="1" applyAlignment="1"/>
    <xf numFmtId="0" fontId="0" fillId="0" borderId="76" xfId="0" applyFill="1" applyBorder="1" applyAlignment="1"/>
    <xf numFmtId="9" fontId="20" fillId="0" borderId="0" xfId="1" applyNumberFormat="1" applyFont="1" applyFill="1" applyBorder="1" applyAlignment="1">
      <alignment horizontal="center"/>
    </xf>
    <xf numFmtId="9" fontId="20" fillId="0" borderId="0" xfId="0" applyNumberFormat="1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top" textRotation="90"/>
    </xf>
    <xf numFmtId="0" fontId="8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8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 vertical="top"/>
    </xf>
    <xf numFmtId="0" fontId="0" fillId="7" borderId="8" xfId="0" applyFill="1" applyBorder="1" applyAlignment="1">
      <alignment horizontal="left" vertical="top"/>
    </xf>
  </cellXfs>
  <cellStyles count="3">
    <cellStyle name="Hyperlink" xfId="2" builtinId="8"/>
    <cellStyle name="Normal" xfId="0" builtinId="0"/>
    <cellStyle name="Normal 2 2" xfId="1" xr:uid="{EC830DD9-F232-4971-BBF1-C384761921D2}"/>
  </cellStyles>
  <dxfs count="40">
    <dxf>
      <fill>
        <patternFill>
          <bgColor rgb="FFCCFFCC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ont>
        <color theme="7" tint="0.59999389629810485"/>
      </font>
      <fill>
        <patternFill patternType="solid">
          <bgColor theme="7" tint="0.59999389629810485"/>
        </patternFill>
      </fill>
    </dxf>
    <dxf>
      <font>
        <color rgb="FF7030A0"/>
      </font>
      <fill>
        <patternFill patternType="solid">
          <bgColor rgb="FF7030A0"/>
        </patternFill>
      </fill>
    </dxf>
    <dxf>
      <fill>
        <patternFill>
          <bgColor rgb="FFCCFFCC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ill>
        <patternFill>
          <bgColor rgb="FFCCFFCC"/>
        </patternFill>
      </fill>
    </dxf>
    <dxf>
      <fill>
        <patternFill>
          <bgColor rgb="FFFFFF99"/>
        </patternFill>
      </fill>
    </dxf>
    <dxf>
      <fill>
        <patternFill>
          <bgColor rgb="FFCCFFCC"/>
        </patternFill>
      </fill>
    </dxf>
    <dxf>
      <fill>
        <patternFill>
          <bgColor rgb="FFFFFF99"/>
        </patternFill>
      </fill>
    </dxf>
    <dxf>
      <fill>
        <patternFill>
          <bgColor rgb="FFFFCCCC"/>
        </patternFill>
      </fill>
    </dxf>
    <dxf>
      <font>
        <color theme="7" tint="0.79998168889431442"/>
      </font>
      <fill>
        <patternFill patternType="solid">
          <bgColor theme="7" tint="0.79998168889431442"/>
        </patternFill>
      </fill>
    </dxf>
    <dxf>
      <font>
        <color theme="7"/>
      </font>
      <fill>
        <patternFill patternType="solid"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theme="7" tint="0.79998168889431442"/>
      </font>
      <fill>
        <patternFill patternType="solid">
          <bgColor theme="7" tint="0.79998168889431442"/>
        </patternFill>
      </fill>
    </dxf>
    <dxf>
      <font>
        <strike/>
        <color theme="7"/>
      </font>
      <fill>
        <patternFill patternType="solid">
          <bgColor theme="7"/>
        </patternFill>
      </fill>
    </dxf>
    <dxf>
      <font>
        <strike/>
        <color rgb="FF92D050"/>
      </font>
      <fill>
        <patternFill patternType="solid">
          <bgColor rgb="FF92D050"/>
        </patternFill>
      </fill>
    </dxf>
    <dxf>
      <font>
        <strike/>
        <color rgb="FFFF0000"/>
      </font>
      <fill>
        <patternFill patternType="solid">
          <bgColor rgb="FFFF0000"/>
        </patternFill>
      </fill>
    </dxf>
    <dxf>
      <font>
        <color theme="7" tint="0.79998168889431442"/>
      </font>
      <fill>
        <patternFill patternType="solid">
          <bgColor theme="7" tint="0.79998168889431442"/>
        </patternFill>
      </fill>
    </dxf>
    <dxf>
      <font>
        <color theme="7"/>
      </font>
      <fill>
        <patternFill patternType="solid"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Medium9"/>
  <colors>
    <mruColors>
      <color rgb="FF00E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8A826-33A6-4B5A-9B72-719EBB2BD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4425" cy="1114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104775</xdr:rowOff>
    </xdr:from>
    <xdr:to>
      <xdr:col>1</xdr:col>
      <xdr:colOff>219075</xdr:colOff>
      <xdr:row>4</xdr:row>
      <xdr:rowOff>47625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423B8C48-20E1-411E-8C60-6368A880301C}"/>
            </a:ext>
            <a:ext uri="{147F2762-F138-4A5C-976F-8EAC2B608ADB}">
              <a16:predDERef xmlns:a16="http://schemas.microsoft.com/office/drawing/2014/main" pred="{E464E601-6D3D-414F-84C6-329307641873}"/>
            </a:ext>
          </a:extLst>
        </xdr:cNvPr>
        <xdr:cNvSpPr/>
      </xdr:nvSpPr>
      <xdr:spPr>
        <a:xfrm>
          <a:off x="771525" y="781050"/>
          <a:ext cx="171450" cy="16192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7</xdr:row>
      <xdr:rowOff>133350</xdr:rowOff>
    </xdr:from>
    <xdr:to>
      <xdr:col>1</xdr:col>
      <xdr:colOff>219075</xdr:colOff>
      <xdr:row>8</xdr:row>
      <xdr:rowOff>95250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6DE0E67B-D88B-4D63-AA92-EEA2CEE968BC}"/>
            </a:ext>
            <a:ext uri="{147F2762-F138-4A5C-976F-8EAC2B608ADB}">
              <a16:predDERef xmlns:a16="http://schemas.microsoft.com/office/drawing/2014/main" pred="{423B8C48-20E1-411E-8C60-6368A880301C}"/>
            </a:ext>
          </a:extLst>
        </xdr:cNvPr>
        <xdr:cNvSpPr/>
      </xdr:nvSpPr>
      <xdr:spPr>
        <a:xfrm>
          <a:off x="771525" y="16764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</xdr:row>
      <xdr:rowOff>123825</xdr:rowOff>
    </xdr:from>
    <xdr:to>
      <xdr:col>1</xdr:col>
      <xdr:colOff>219075</xdr:colOff>
      <xdr:row>2</xdr:row>
      <xdr:rowOff>85725</xdr:rowOff>
    </xdr:to>
    <xdr:sp macro="" textlink="">
      <xdr:nvSpPr>
        <xdr:cNvPr id="4" name="Rectangle 82">
          <a:extLst>
            <a:ext uri="{FF2B5EF4-FFF2-40B4-BE49-F238E27FC236}">
              <a16:creationId xmlns:a16="http://schemas.microsoft.com/office/drawing/2014/main" id="{5A5EBE11-5A97-4353-8EA9-DC83B97454D0}"/>
            </a:ext>
            <a:ext uri="{147F2762-F138-4A5C-976F-8EAC2B608ADB}">
              <a16:predDERef xmlns:a16="http://schemas.microsoft.com/office/drawing/2014/main" pred="{6DE0E67B-D88B-4D63-AA92-EEA2CEE968BC}"/>
            </a:ext>
          </a:extLst>
        </xdr:cNvPr>
        <xdr:cNvSpPr/>
      </xdr:nvSpPr>
      <xdr:spPr>
        <a:xfrm>
          <a:off x="771525" y="3810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5</xdr:row>
      <xdr:rowOff>133350</xdr:rowOff>
    </xdr:from>
    <xdr:to>
      <xdr:col>1</xdr:col>
      <xdr:colOff>219075</xdr:colOff>
      <xdr:row>6</xdr:row>
      <xdr:rowOff>76200</xdr:rowOff>
    </xdr:to>
    <xdr:sp macro="" textlink="">
      <xdr:nvSpPr>
        <xdr:cNvPr id="5" name="Rectangle 83">
          <a:extLst>
            <a:ext uri="{FF2B5EF4-FFF2-40B4-BE49-F238E27FC236}">
              <a16:creationId xmlns:a16="http://schemas.microsoft.com/office/drawing/2014/main" id="{C61A3366-BD28-4843-8D83-5F71B14E3F1C}"/>
            </a:ext>
            <a:ext uri="{147F2762-F138-4A5C-976F-8EAC2B608ADB}">
              <a16:predDERef xmlns:a16="http://schemas.microsoft.com/office/drawing/2014/main" pred="{5A5EBE11-5A97-4353-8EA9-DC83B97454D0}"/>
            </a:ext>
          </a:extLst>
        </xdr:cNvPr>
        <xdr:cNvSpPr/>
      </xdr:nvSpPr>
      <xdr:spPr>
        <a:xfrm>
          <a:off x="771525" y="12382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9</xdr:row>
      <xdr:rowOff>133350</xdr:rowOff>
    </xdr:from>
    <xdr:to>
      <xdr:col>1</xdr:col>
      <xdr:colOff>219075</xdr:colOff>
      <xdr:row>10</xdr:row>
      <xdr:rowOff>76200</xdr:rowOff>
    </xdr:to>
    <xdr:sp macro="" textlink="">
      <xdr:nvSpPr>
        <xdr:cNvPr id="6" name="Rectangle 83">
          <a:extLst>
            <a:ext uri="{FF2B5EF4-FFF2-40B4-BE49-F238E27FC236}">
              <a16:creationId xmlns:a16="http://schemas.microsoft.com/office/drawing/2014/main" id="{F954240D-A4A5-443E-9751-15C11ED40F37}"/>
            </a:ext>
            <a:ext uri="{147F2762-F138-4A5C-976F-8EAC2B608ADB}">
              <a16:predDERef xmlns:a16="http://schemas.microsoft.com/office/drawing/2014/main" pred="{C61A3366-BD28-4843-8D83-5F71B14E3F1C}"/>
            </a:ext>
          </a:extLst>
        </xdr:cNvPr>
        <xdr:cNvSpPr/>
      </xdr:nvSpPr>
      <xdr:spPr>
        <a:xfrm>
          <a:off x="771525" y="20955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17</xdr:row>
      <xdr:rowOff>142875</xdr:rowOff>
    </xdr:from>
    <xdr:to>
      <xdr:col>1</xdr:col>
      <xdr:colOff>219075</xdr:colOff>
      <xdr:row>18</xdr:row>
      <xdr:rowOff>104775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3E113DE-A582-42AC-A6CD-2DE3BAC51722}"/>
            </a:ext>
            <a:ext uri="{147F2762-F138-4A5C-976F-8EAC2B608ADB}">
              <a16:predDERef xmlns:a16="http://schemas.microsoft.com/office/drawing/2014/main" pred="{F954240D-A4A5-443E-9751-15C11ED40F37}"/>
            </a:ext>
          </a:extLst>
        </xdr:cNvPr>
        <xdr:cNvSpPr/>
      </xdr:nvSpPr>
      <xdr:spPr>
        <a:xfrm>
          <a:off x="771525" y="38100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17</xdr:row>
      <xdr:rowOff>142875</xdr:rowOff>
    </xdr:from>
    <xdr:to>
      <xdr:col>1</xdr:col>
      <xdr:colOff>219075</xdr:colOff>
      <xdr:row>18</xdr:row>
      <xdr:rowOff>104775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FCB7E991-1B1C-440B-8F04-3DE08DFA4086}"/>
            </a:ext>
            <a:ext uri="{147F2762-F138-4A5C-976F-8EAC2B608ADB}">
              <a16:predDERef xmlns:a16="http://schemas.microsoft.com/office/drawing/2014/main" pred="{53E113DE-A582-42AC-A6CD-2DE3BAC51722}"/>
            </a:ext>
          </a:extLst>
        </xdr:cNvPr>
        <xdr:cNvSpPr/>
      </xdr:nvSpPr>
      <xdr:spPr>
        <a:xfrm>
          <a:off x="771525" y="38100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15</xdr:row>
      <xdr:rowOff>142875</xdr:rowOff>
    </xdr:from>
    <xdr:to>
      <xdr:col>1</xdr:col>
      <xdr:colOff>219075</xdr:colOff>
      <xdr:row>16</xdr:row>
      <xdr:rowOff>104775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10AE8FB4-5B51-4C08-B937-9A5AA45A4999}"/>
            </a:ext>
            <a:ext uri="{147F2762-F138-4A5C-976F-8EAC2B608ADB}">
              <a16:predDERef xmlns:a16="http://schemas.microsoft.com/office/drawing/2014/main" pred="{FCB7E991-1B1C-440B-8F04-3DE08DFA4086}"/>
            </a:ext>
          </a:extLst>
        </xdr:cNvPr>
        <xdr:cNvSpPr/>
      </xdr:nvSpPr>
      <xdr:spPr>
        <a:xfrm>
          <a:off x="771525" y="33718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15</xdr:row>
      <xdr:rowOff>142875</xdr:rowOff>
    </xdr:from>
    <xdr:to>
      <xdr:col>1</xdr:col>
      <xdr:colOff>219075</xdr:colOff>
      <xdr:row>16</xdr:row>
      <xdr:rowOff>104775</xdr:rowOff>
    </xdr:to>
    <xdr:sp macro="" textlink="">
      <xdr:nvSpPr>
        <xdr:cNvPr id="10" name="Rectangle 6">
          <a:extLst>
            <a:ext uri="{FF2B5EF4-FFF2-40B4-BE49-F238E27FC236}">
              <a16:creationId xmlns:a16="http://schemas.microsoft.com/office/drawing/2014/main" id="{BF23B7F3-3862-412C-B044-0C19041F6BD7}"/>
            </a:ext>
            <a:ext uri="{147F2762-F138-4A5C-976F-8EAC2B608ADB}">
              <a16:predDERef xmlns:a16="http://schemas.microsoft.com/office/drawing/2014/main" pred="{10AE8FB4-5B51-4C08-B937-9A5AA45A4999}"/>
            </a:ext>
          </a:extLst>
        </xdr:cNvPr>
        <xdr:cNvSpPr/>
      </xdr:nvSpPr>
      <xdr:spPr>
        <a:xfrm>
          <a:off x="771525" y="33718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13</xdr:row>
      <xdr:rowOff>142875</xdr:rowOff>
    </xdr:from>
    <xdr:to>
      <xdr:col>1</xdr:col>
      <xdr:colOff>219075</xdr:colOff>
      <xdr:row>14</xdr:row>
      <xdr:rowOff>104775</xdr:rowOff>
    </xdr:to>
    <xdr:sp macro="" textlink="">
      <xdr:nvSpPr>
        <xdr:cNvPr id="11" name="Rectangle 6">
          <a:extLst>
            <a:ext uri="{FF2B5EF4-FFF2-40B4-BE49-F238E27FC236}">
              <a16:creationId xmlns:a16="http://schemas.microsoft.com/office/drawing/2014/main" id="{B3CE146B-D648-4533-9636-D5AE3EA56D9A}"/>
            </a:ext>
            <a:ext uri="{147F2762-F138-4A5C-976F-8EAC2B608ADB}">
              <a16:predDERef xmlns:a16="http://schemas.microsoft.com/office/drawing/2014/main" pred="{BF23B7F3-3862-412C-B044-0C19041F6BD7}"/>
            </a:ext>
          </a:extLst>
        </xdr:cNvPr>
        <xdr:cNvSpPr/>
      </xdr:nvSpPr>
      <xdr:spPr>
        <a:xfrm>
          <a:off x="771525" y="2952750"/>
          <a:ext cx="171450" cy="16192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13</xdr:row>
      <xdr:rowOff>142875</xdr:rowOff>
    </xdr:from>
    <xdr:to>
      <xdr:col>1</xdr:col>
      <xdr:colOff>219075</xdr:colOff>
      <xdr:row>14</xdr:row>
      <xdr:rowOff>104775</xdr:rowOff>
    </xdr:to>
    <xdr:sp macro="" textlink="">
      <xdr:nvSpPr>
        <xdr:cNvPr id="12" name="Rectangle 6">
          <a:extLst>
            <a:ext uri="{FF2B5EF4-FFF2-40B4-BE49-F238E27FC236}">
              <a16:creationId xmlns:a16="http://schemas.microsoft.com/office/drawing/2014/main" id="{07EBDCCB-888C-45E3-B2A7-ABD73849DD9F}"/>
            </a:ext>
            <a:ext uri="{147F2762-F138-4A5C-976F-8EAC2B608ADB}">
              <a16:predDERef xmlns:a16="http://schemas.microsoft.com/office/drawing/2014/main" pred="{B3CE146B-D648-4533-9636-D5AE3EA56D9A}"/>
            </a:ext>
          </a:extLst>
        </xdr:cNvPr>
        <xdr:cNvSpPr/>
      </xdr:nvSpPr>
      <xdr:spPr>
        <a:xfrm>
          <a:off x="771525" y="2952750"/>
          <a:ext cx="171450" cy="16192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11</xdr:row>
      <xdr:rowOff>142875</xdr:rowOff>
    </xdr:from>
    <xdr:to>
      <xdr:col>1</xdr:col>
      <xdr:colOff>219075</xdr:colOff>
      <xdr:row>12</xdr:row>
      <xdr:rowOff>104775</xdr:rowOff>
    </xdr:to>
    <xdr:sp macro="" textlink="">
      <xdr:nvSpPr>
        <xdr:cNvPr id="13" name="Rectangle 6">
          <a:extLst>
            <a:ext uri="{FF2B5EF4-FFF2-40B4-BE49-F238E27FC236}">
              <a16:creationId xmlns:a16="http://schemas.microsoft.com/office/drawing/2014/main" id="{F826E817-27A3-4460-B76B-8A250C511C73}"/>
            </a:ext>
            <a:ext uri="{147F2762-F138-4A5C-976F-8EAC2B608ADB}">
              <a16:predDERef xmlns:a16="http://schemas.microsoft.com/office/drawing/2014/main" pred="{07EBDCCB-888C-45E3-B2A7-ABD73849DD9F}"/>
            </a:ext>
          </a:extLst>
        </xdr:cNvPr>
        <xdr:cNvSpPr/>
      </xdr:nvSpPr>
      <xdr:spPr>
        <a:xfrm>
          <a:off x="771525" y="254317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11</xdr:row>
      <xdr:rowOff>142875</xdr:rowOff>
    </xdr:from>
    <xdr:to>
      <xdr:col>1</xdr:col>
      <xdr:colOff>219075</xdr:colOff>
      <xdr:row>12</xdr:row>
      <xdr:rowOff>104775</xdr:rowOff>
    </xdr:to>
    <xdr:sp macro="" textlink="">
      <xdr:nvSpPr>
        <xdr:cNvPr id="14" name="Rectangle 6">
          <a:extLst>
            <a:ext uri="{FF2B5EF4-FFF2-40B4-BE49-F238E27FC236}">
              <a16:creationId xmlns:a16="http://schemas.microsoft.com/office/drawing/2014/main" id="{A215C3CE-0CD7-4C93-861F-9A705DCFF09F}"/>
            </a:ext>
            <a:ext uri="{147F2762-F138-4A5C-976F-8EAC2B608ADB}">
              <a16:predDERef xmlns:a16="http://schemas.microsoft.com/office/drawing/2014/main" pred="{F826E817-27A3-4460-B76B-8A250C511C73}"/>
            </a:ext>
          </a:extLst>
        </xdr:cNvPr>
        <xdr:cNvSpPr/>
      </xdr:nvSpPr>
      <xdr:spPr>
        <a:xfrm>
          <a:off x="771525" y="254317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</xdr:row>
      <xdr:rowOff>133350</xdr:rowOff>
    </xdr:from>
    <xdr:to>
      <xdr:col>7</xdr:col>
      <xdr:colOff>219075</xdr:colOff>
      <xdr:row>2</xdr:row>
      <xdr:rowOff>76200</xdr:rowOff>
    </xdr:to>
    <xdr:sp macro="" textlink="">
      <xdr:nvSpPr>
        <xdr:cNvPr id="15" name="Rectangle 83">
          <a:extLst>
            <a:ext uri="{FF2B5EF4-FFF2-40B4-BE49-F238E27FC236}">
              <a16:creationId xmlns:a16="http://schemas.microsoft.com/office/drawing/2014/main" id="{BA6DE2CC-D715-4F8E-91BC-0C3A48CA303A}"/>
            </a:ext>
            <a:ext uri="{147F2762-F138-4A5C-976F-8EAC2B608ADB}">
              <a16:predDERef xmlns:a16="http://schemas.microsoft.com/office/drawing/2014/main" pred="{A215C3CE-0CD7-4C93-861F-9A705DCFF09F}"/>
            </a:ext>
          </a:extLst>
        </xdr:cNvPr>
        <xdr:cNvSpPr/>
      </xdr:nvSpPr>
      <xdr:spPr>
        <a:xfrm>
          <a:off x="4857750" y="390525"/>
          <a:ext cx="152400" cy="15240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3</xdr:row>
      <xdr:rowOff>133350</xdr:rowOff>
    </xdr:from>
    <xdr:to>
      <xdr:col>7</xdr:col>
      <xdr:colOff>219075</xdr:colOff>
      <xdr:row>4</xdr:row>
      <xdr:rowOff>76200</xdr:rowOff>
    </xdr:to>
    <xdr:sp macro="" textlink="">
      <xdr:nvSpPr>
        <xdr:cNvPr id="16" name="Rectangle 83">
          <a:extLst>
            <a:ext uri="{FF2B5EF4-FFF2-40B4-BE49-F238E27FC236}">
              <a16:creationId xmlns:a16="http://schemas.microsoft.com/office/drawing/2014/main" id="{B04A6869-59B6-4AF1-893D-C9F250F2F185}"/>
            </a:ext>
            <a:ext uri="{147F2762-F138-4A5C-976F-8EAC2B608ADB}">
              <a16:predDERef xmlns:a16="http://schemas.microsoft.com/office/drawing/2014/main" pred="{BA6DE2CC-D715-4F8E-91BC-0C3A48CA303A}"/>
            </a:ext>
          </a:extLst>
        </xdr:cNvPr>
        <xdr:cNvSpPr/>
      </xdr:nvSpPr>
      <xdr:spPr>
        <a:xfrm>
          <a:off x="4857750" y="809625"/>
          <a:ext cx="152400" cy="16192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5</xdr:row>
      <xdr:rowOff>133350</xdr:rowOff>
    </xdr:from>
    <xdr:to>
      <xdr:col>7</xdr:col>
      <xdr:colOff>219075</xdr:colOff>
      <xdr:row>6</xdr:row>
      <xdr:rowOff>76200</xdr:rowOff>
    </xdr:to>
    <xdr:sp macro="" textlink="">
      <xdr:nvSpPr>
        <xdr:cNvPr id="17" name="Rectangle 83">
          <a:extLst>
            <a:ext uri="{FF2B5EF4-FFF2-40B4-BE49-F238E27FC236}">
              <a16:creationId xmlns:a16="http://schemas.microsoft.com/office/drawing/2014/main" id="{90E7F85C-346F-4963-8F76-AC6289E5DBFF}"/>
            </a:ext>
            <a:ext uri="{147F2762-F138-4A5C-976F-8EAC2B608ADB}">
              <a16:predDERef xmlns:a16="http://schemas.microsoft.com/office/drawing/2014/main" pred="{B04A6869-59B6-4AF1-893D-C9F250F2F185}"/>
            </a:ext>
          </a:extLst>
        </xdr:cNvPr>
        <xdr:cNvSpPr/>
      </xdr:nvSpPr>
      <xdr:spPr>
        <a:xfrm>
          <a:off x="4857750" y="1238250"/>
          <a:ext cx="15240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9</xdr:row>
      <xdr:rowOff>133350</xdr:rowOff>
    </xdr:from>
    <xdr:to>
      <xdr:col>7</xdr:col>
      <xdr:colOff>219075</xdr:colOff>
      <xdr:row>10</xdr:row>
      <xdr:rowOff>76200</xdr:rowOff>
    </xdr:to>
    <xdr:sp macro="" textlink="">
      <xdr:nvSpPr>
        <xdr:cNvPr id="18" name="Rectangle 83">
          <a:extLst>
            <a:ext uri="{FF2B5EF4-FFF2-40B4-BE49-F238E27FC236}">
              <a16:creationId xmlns:a16="http://schemas.microsoft.com/office/drawing/2014/main" id="{1F37A318-7B8B-46B3-8732-1285F1223ED2}"/>
            </a:ext>
            <a:ext uri="{147F2762-F138-4A5C-976F-8EAC2B608ADB}">
              <a16:predDERef xmlns:a16="http://schemas.microsoft.com/office/drawing/2014/main" pred="{90E7F85C-346F-4963-8F76-AC6289E5DBFF}"/>
            </a:ext>
          </a:extLst>
        </xdr:cNvPr>
        <xdr:cNvSpPr/>
      </xdr:nvSpPr>
      <xdr:spPr>
        <a:xfrm>
          <a:off x="4857750" y="2095500"/>
          <a:ext cx="15240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7</xdr:row>
      <xdr:rowOff>133350</xdr:rowOff>
    </xdr:from>
    <xdr:to>
      <xdr:col>7</xdr:col>
      <xdr:colOff>219075</xdr:colOff>
      <xdr:row>8</xdr:row>
      <xdr:rowOff>95250</xdr:rowOff>
    </xdr:to>
    <xdr:sp macro="" textlink="">
      <xdr:nvSpPr>
        <xdr:cNvPr id="19" name="Rectangle 7">
          <a:extLst>
            <a:ext uri="{FF2B5EF4-FFF2-40B4-BE49-F238E27FC236}">
              <a16:creationId xmlns:a16="http://schemas.microsoft.com/office/drawing/2014/main" id="{A7890E2E-558F-4B55-93ED-D322BD3C3501}"/>
            </a:ext>
            <a:ext uri="{147F2762-F138-4A5C-976F-8EAC2B608ADB}">
              <a16:predDERef xmlns:a16="http://schemas.microsoft.com/office/drawing/2014/main" pred="{1F37A318-7B8B-46B3-8732-1285F1223ED2}"/>
            </a:ext>
          </a:extLst>
        </xdr:cNvPr>
        <xdr:cNvSpPr/>
      </xdr:nvSpPr>
      <xdr:spPr>
        <a:xfrm>
          <a:off x="4857750" y="1676400"/>
          <a:ext cx="15240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11</xdr:row>
      <xdr:rowOff>142875</xdr:rowOff>
    </xdr:from>
    <xdr:to>
      <xdr:col>7</xdr:col>
      <xdr:colOff>219075</xdr:colOff>
      <xdr:row>12</xdr:row>
      <xdr:rowOff>104775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53EE6E2C-0C5A-4C05-B42F-080147D566D3}"/>
            </a:ext>
            <a:ext uri="{147F2762-F138-4A5C-976F-8EAC2B608ADB}">
              <a16:predDERef xmlns:a16="http://schemas.microsoft.com/office/drawing/2014/main" pred="{A7890E2E-558F-4B55-93ED-D322BD3C3501}"/>
            </a:ext>
          </a:extLst>
        </xdr:cNvPr>
        <xdr:cNvSpPr/>
      </xdr:nvSpPr>
      <xdr:spPr>
        <a:xfrm>
          <a:off x="4857750" y="2543175"/>
          <a:ext cx="15240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11</xdr:row>
      <xdr:rowOff>142875</xdr:rowOff>
    </xdr:from>
    <xdr:to>
      <xdr:col>7</xdr:col>
      <xdr:colOff>219075</xdr:colOff>
      <xdr:row>12</xdr:row>
      <xdr:rowOff>104775</xdr:rowOff>
    </xdr:to>
    <xdr:sp macro="" textlink="">
      <xdr:nvSpPr>
        <xdr:cNvPr id="21" name="Rectangle 6">
          <a:extLst>
            <a:ext uri="{FF2B5EF4-FFF2-40B4-BE49-F238E27FC236}">
              <a16:creationId xmlns:a16="http://schemas.microsoft.com/office/drawing/2014/main" id="{4EA2D3FF-BFD2-4E96-8DD2-B841C8F84C63}"/>
            </a:ext>
            <a:ext uri="{147F2762-F138-4A5C-976F-8EAC2B608ADB}">
              <a16:predDERef xmlns:a16="http://schemas.microsoft.com/office/drawing/2014/main" pred="{53EE6E2C-0C5A-4C05-B42F-080147D566D3}"/>
            </a:ext>
          </a:extLst>
        </xdr:cNvPr>
        <xdr:cNvSpPr/>
      </xdr:nvSpPr>
      <xdr:spPr>
        <a:xfrm>
          <a:off x="4857750" y="2543175"/>
          <a:ext cx="15240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13</xdr:row>
      <xdr:rowOff>142875</xdr:rowOff>
    </xdr:from>
    <xdr:to>
      <xdr:col>7</xdr:col>
      <xdr:colOff>219075</xdr:colOff>
      <xdr:row>14</xdr:row>
      <xdr:rowOff>104775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9F8951AE-5CC3-4937-8344-4D90D61EEBEA}"/>
            </a:ext>
            <a:ext uri="{147F2762-F138-4A5C-976F-8EAC2B608ADB}">
              <a16:predDERef xmlns:a16="http://schemas.microsoft.com/office/drawing/2014/main" pred="{4EA2D3FF-BFD2-4E96-8DD2-B841C8F84C63}"/>
            </a:ext>
          </a:extLst>
        </xdr:cNvPr>
        <xdr:cNvSpPr/>
      </xdr:nvSpPr>
      <xdr:spPr>
        <a:xfrm>
          <a:off x="4857750" y="2952750"/>
          <a:ext cx="152400" cy="16192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13</xdr:row>
      <xdr:rowOff>142875</xdr:rowOff>
    </xdr:from>
    <xdr:to>
      <xdr:col>7</xdr:col>
      <xdr:colOff>219075</xdr:colOff>
      <xdr:row>14</xdr:row>
      <xdr:rowOff>104775</xdr:rowOff>
    </xdr:to>
    <xdr:sp macro="" textlink="">
      <xdr:nvSpPr>
        <xdr:cNvPr id="23" name="Rectangle 6">
          <a:extLst>
            <a:ext uri="{FF2B5EF4-FFF2-40B4-BE49-F238E27FC236}">
              <a16:creationId xmlns:a16="http://schemas.microsoft.com/office/drawing/2014/main" id="{9A12ABBE-860C-4D44-9148-09765E7B0458}"/>
            </a:ext>
            <a:ext uri="{147F2762-F138-4A5C-976F-8EAC2B608ADB}">
              <a16:predDERef xmlns:a16="http://schemas.microsoft.com/office/drawing/2014/main" pred="{9F8951AE-5CC3-4937-8344-4D90D61EEBEA}"/>
            </a:ext>
          </a:extLst>
        </xdr:cNvPr>
        <xdr:cNvSpPr/>
      </xdr:nvSpPr>
      <xdr:spPr>
        <a:xfrm>
          <a:off x="4857750" y="2952750"/>
          <a:ext cx="152400" cy="16192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15</xdr:row>
      <xdr:rowOff>142875</xdr:rowOff>
    </xdr:from>
    <xdr:to>
      <xdr:col>7</xdr:col>
      <xdr:colOff>219075</xdr:colOff>
      <xdr:row>16</xdr:row>
      <xdr:rowOff>104775</xdr:rowOff>
    </xdr:to>
    <xdr:sp macro="" textlink="">
      <xdr:nvSpPr>
        <xdr:cNvPr id="24" name="Rectangle 6">
          <a:extLst>
            <a:ext uri="{FF2B5EF4-FFF2-40B4-BE49-F238E27FC236}">
              <a16:creationId xmlns:a16="http://schemas.microsoft.com/office/drawing/2014/main" id="{B1C0C383-C8C4-443A-80BF-53E0BEAFA102}"/>
            </a:ext>
            <a:ext uri="{147F2762-F138-4A5C-976F-8EAC2B608ADB}">
              <a16:predDERef xmlns:a16="http://schemas.microsoft.com/office/drawing/2014/main" pred="{9A12ABBE-860C-4D44-9148-09765E7B0458}"/>
            </a:ext>
          </a:extLst>
        </xdr:cNvPr>
        <xdr:cNvSpPr/>
      </xdr:nvSpPr>
      <xdr:spPr>
        <a:xfrm>
          <a:off x="4857750" y="3371850"/>
          <a:ext cx="15240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15</xdr:row>
      <xdr:rowOff>142875</xdr:rowOff>
    </xdr:from>
    <xdr:to>
      <xdr:col>7</xdr:col>
      <xdr:colOff>219075</xdr:colOff>
      <xdr:row>16</xdr:row>
      <xdr:rowOff>104775</xdr:rowOff>
    </xdr:to>
    <xdr:sp macro="" textlink="">
      <xdr:nvSpPr>
        <xdr:cNvPr id="25" name="Rectangle 6">
          <a:extLst>
            <a:ext uri="{FF2B5EF4-FFF2-40B4-BE49-F238E27FC236}">
              <a16:creationId xmlns:a16="http://schemas.microsoft.com/office/drawing/2014/main" id="{950220D3-273A-437C-ABFE-758FB8820484}"/>
            </a:ext>
            <a:ext uri="{147F2762-F138-4A5C-976F-8EAC2B608ADB}">
              <a16:predDERef xmlns:a16="http://schemas.microsoft.com/office/drawing/2014/main" pred="{B1C0C383-C8C4-443A-80BF-53E0BEAFA102}"/>
            </a:ext>
          </a:extLst>
        </xdr:cNvPr>
        <xdr:cNvSpPr/>
      </xdr:nvSpPr>
      <xdr:spPr>
        <a:xfrm>
          <a:off x="4857750" y="3371850"/>
          <a:ext cx="15240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17</xdr:row>
      <xdr:rowOff>142875</xdr:rowOff>
    </xdr:from>
    <xdr:to>
      <xdr:col>7</xdr:col>
      <xdr:colOff>219075</xdr:colOff>
      <xdr:row>18</xdr:row>
      <xdr:rowOff>104775</xdr:rowOff>
    </xdr:to>
    <xdr:sp macro="" textlink="">
      <xdr:nvSpPr>
        <xdr:cNvPr id="26" name="Rectangle 6">
          <a:extLst>
            <a:ext uri="{FF2B5EF4-FFF2-40B4-BE49-F238E27FC236}">
              <a16:creationId xmlns:a16="http://schemas.microsoft.com/office/drawing/2014/main" id="{ED6B3D21-AE6B-43C5-8642-A34700532D95}"/>
            </a:ext>
            <a:ext uri="{147F2762-F138-4A5C-976F-8EAC2B608ADB}">
              <a16:predDERef xmlns:a16="http://schemas.microsoft.com/office/drawing/2014/main" pred="{950220D3-273A-437C-ABFE-758FB8820484}"/>
            </a:ext>
          </a:extLst>
        </xdr:cNvPr>
        <xdr:cNvSpPr/>
      </xdr:nvSpPr>
      <xdr:spPr>
        <a:xfrm>
          <a:off x="4857750" y="3810000"/>
          <a:ext cx="15240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17</xdr:row>
      <xdr:rowOff>142875</xdr:rowOff>
    </xdr:from>
    <xdr:to>
      <xdr:col>7</xdr:col>
      <xdr:colOff>219075</xdr:colOff>
      <xdr:row>18</xdr:row>
      <xdr:rowOff>104775</xdr:rowOff>
    </xdr:to>
    <xdr:sp macro="" textlink="">
      <xdr:nvSpPr>
        <xdr:cNvPr id="27" name="Rectangle 6">
          <a:extLst>
            <a:ext uri="{FF2B5EF4-FFF2-40B4-BE49-F238E27FC236}">
              <a16:creationId xmlns:a16="http://schemas.microsoft.com/office/drawing/2014/main" id="{095A7D3B-7200-4FEB-BC2F-7B72FABF8B44}"/>
            </a:ext>
            <a:ext uri="{147F2762-F138-4A5C-976F-8EAC2B608ADB}">
              <a16:predDERef xmlns:a16="http://schemas.microsoft.com/office/drawing/2014/main" pred="{ED6B3D21-AE6B-43C5-8642-A34700532D95}"/>
            </a:ext>
          </a:extLst>
        </xdr:cNvPr>
        <xdr:cNvSpPr/>
      </xdr:nvSpPr>
      <xdr:spPr>
        <a:xfrm>
          <a:off x="4857750" y="3810000"/>
          <a:ext cx="15240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3</xdr:row>
      <xdr:rowOff>133350</xdr:rowOff>
    </xdr:from>
    <xdr:to>
      <xdr:col>16</xdr:col>
      <xdr:colOff>219075</xdr:colOff>
      <xdr:row>4</xdr:row>
      <xdr:rowOff>95250</xdr:rowOff>
    </xdr:to>
    <xdr:sp macro="" textlink="">
      <xdr:nvSpPr>
        <xdr:cNvPr id="28" name="Rectangle 7">
          <a:extLst>
            <a:ext uri="{FF2B5EF4-FFF2-40B4-BE49-F238E27FC236}">
              <a16:creationId xmlns:a16="http://schemas.microsoft.com/office/drawing/2014/main" id="{D6079E02-9FEE-42E1-9D72-18FA361A400F}"/>
            </a:ext>
            <a:ext uri="{147F2762-F138-4A5C-976F-8EAC2B608ADB}">
              <a16:predDERef xmlns:a16="http://schemas.microsoft.com/office/drawing/2014/main" pred="{095A7D3B-7200-4FEB-BC2F-7B72FABF8B44}"/>
            </a:ext>
          </a:extLst>
        </xdr:cNvPr>
        <xdr:cNvSpPr/>
      </xdr:nvSpPr>
      <xdr:spPr>
        <a:xfrm>
          <a:off x="121158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9</xdr:row>
      <xdr:rowOff>133350</xdr:rowOff>
    </xdr:from>
    <xdr:to>
      <xdr:col>16</xdr:col>
      <xdr:colOff>219075</xdr:colOff>
      <xdr:row>10</xdr:row>
      <xdr:rowOff>76200</xdr:rowOff>
    </xdr:to>
    <xdr:sp macro="" textlink="">
      <xdr:nvSpPr>
        <xdr:cNvPr id="29" name="Rectangle 83">
          <a:extLst>
            <a:ext uri="{FF2B5EF4-FFF2-40B4-BE49-F238E27FC236}">
              <a16:creationId xmlns:a16="http://schemas.microsoft.com/office/drawing/2014/main" id="{650D4534-25B5-4252-97AC-6954EB0A97E7}"/>
            </a:ext>
            <a:ext uri="{147F2762-F138-4A5C-976F-8EAC2B608ADB}">
              <a16:predDERef xmlns:a16="http://schemas.microsoft.com/office/drawing/2014/main" pred="{D6079E02-9FEE-42E1-9D72-18FA361A400F}"/>
            </a:ext>
          </a:extLst>
        </xdr:cNvPr>
        <xdr:cNvSpPr/>
      </xdr:nvSpPr>
      <xdr:spPr>
        <a:xfrm>
          <a:off x="12115800" y="20955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17</xdr:row>
      <xdr:rowOff>133350</xdr:rowOff>
    </xdr:from>
    <xdr:to>
      <xdr:col>16</xdr:col>
      <xdr:colOff>219075</xdr:colOff>
      <xdr:row>18</xdr:row>
      <xdr:rowOff>95250</xdr:rowOff>
    </xdr:to>
    <xdr:sp macro="" textlink="">
      <xdr:nvSpPr>
        <xdr:cNvPr id="30" name="Rectangle 7">
          <a:extLst>
            <a:ext uri="{FF2B5EF4-FFF2-40B4-BE49-F238E27FC236}">
              <a16:creationId xmlns:a16="http://schemas.microsoft.com/office/drawing/2014/main" id="{10BBA957-98C7-47B5-88C4-E75DA22ACAC5}"/>
            </a:ext>
            <a:ext uri="{147F2762-F138-4A5C-976F-8EAC2B608ADB}">
              <a16:predDERef xmlns:a16="http://schemas.microsoft.com/office/drawing/2014/main" pred="{650D4534-25B5-4252-97AC-6954EB0A97E7}"/>
            </a:ext>
          </a:extLst>
        </xdr:cNvPr>
        <xdr:cNvSpPr/>
      </xdr:nvSpPr>
      <xdr:spPr>
        <a:xfrm>
          <a:off x="12115800" y="380047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</xdr:row>
      <xdr:rowOff>133350</xdr:rowOff>
    </xdr:from>
    <xdr:to>
      <xdr:col>16</xdr:col>
      <xdr:colOff>219075</xdr:colOff>
      <xdr:row>2</xdr:row>
      <xdr:rowOff>95250</xdr:rowOff>
    </xdr:to>
    <xdr:sp macro="" textlink="">
      <xdr:nvSpPr>
        <xdr:cNvPr id="31" name="Rectangle 7">
          <a:extLst>
            <a:ext uri="{FF2B5EF4-FFF2-40B4-BE49-F238E27FC236}">
              <a16:creationId xmlns:a16="http://schemas.microsoft.com/office/drawing/2014/main" id="{3957ED38-B738-4659-85B3-404820B46A32}"/>
            </a:ext>
            <a:ext uri="{147F2762-F138-4A5C-976F-8EAC2B608ADB}">
              <a16:predDERef xmlns:a16="http://schemas.microsoft.com/office/drawing/2014/main" pred="{10BBA957-98C7-47B5-88C4-E75DA22ACAC5}"/>
            </a:ext>
          </a:extLst>
        </xdr:cNvPr>
        <xdr:cNvSpPr/>
      </xdr:nvSpPr>
      <xdr:spPr>
        <a:xfrm>
          <a:off x="12115800" y="390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3</xdr:row>
      <xdr:rowOff>133350</xdr:rowOff>
    </xdr:from>
    <xdr:to>
      <xdr:col>16</xdr:col>
      <xdr:colOff>219075</xdr:colOff>
      <xdr:row>4</xdr:row>
      <xdr:rowOff>95250</xdr:rowOff>
    </xdr:to>
    <xdr:sp macro="" textlink="">
      <xdr:nvSpPr>
        <xdr:cNvPr id="32" name="Rectangle 7">
          <a:extLst>
            <a:ext uri="{FF2B5EF4-FFF2-40B4-BE49-F238E27FC236}">
              <a16:creationId xmlns:a16="http://schemas.microsoft.com/office/drawing/2014/main" id="{4E1A7758-83B0-4B6F-9BF9-3246A3F02C97}"/>
            </a:ext>
            <a:ext uri="{147F2762-F138-4A5C-976F-8EAC2B608ADB}">
              <a16:predDERef xmlns:a16="http://schemas.microsoft.com/office/drawing/2014/main" pred="{3957ED38-B738-4659-85B3-404820B46A32}"/>
            </a:ext>
          </a:extLst>
        </xdr:cNvPr>
        <xdr:cNvSpPr/>
      </xdr:nvSpPr>
      <xdr:spPr>
        <a:xfrm>
          <a:off x="121158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5</xdr:row>
      <xdr:rowOff>133350</xdr:rowOff>
    </xdr:from>
    <xdr:to>
      <xdr:col>16</xdr:col>
      <xdr:colOff>219075</xdr:colOff>
      <xdr:row>6</xdr:row>
      <xdr:rowOff>95250</xdr:rowOff>
    </xdr:to>
    <xdr:sp macro="" textlink="">
      <xdr:nvSpPr>
        <xdr:cNvPr id="33" name="Rectangle 7">
          <a:extLst>
            <a:ext uri="{FF2B5EF4-FFF2-40B4-BE49-F238E27FC236}">
              <a16:creationId xmlns:a16="http://schemas.microsoft.com/office/drawing/2014/main" id="{1C72D21D-6BAB-41E6-9BBE-9554709A49E1}"/>
            </a:ext>
            <a:ext uri="{147F2762-F138-4A5C-976F-8EAC2B608ADB}">
              <a16:predDERef xmlns:a16="http://schemas.microsoft.com/office/drawing/2014/main" pred="{4E1A7758-83B0-4B6F-9BF9-3246A3F02C97}"/>
            </a:ext>
          </a:extLst>
        </xdr:cNvPr>
        <xdr:cNvSpPr/>
      </xdr:nvSpPr>
      <xdr:spPr>
        <a:xfrm>
          <a:off x="12115800" y="1238250"/>
          <a:ext cx="171450" cy="19050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5</xdr:row>
      <xdr:rowOff>133350</xdr:rowOff>
    </xdr:from>
    <xdr:to>
      <xdr:col>16</xdr:col>
      <xdr:colOff>219075</xdr:colOff>
      <xdr:row>6</xdr:row>
      <xdr:rowOff>95250</xdr:rowOff>
    </xdr:to>
    <xdr:sp macro="" textlink="">
      <xdr:nvSpPr>
        <xdr:cNvPr id="34" name="Rectangle 7">
          <a:extLst>
            <a:ext uri="{FF2B5EF4-FFF2-40B4-BE49-F238E27FC236}">
              <a16:creationId xmlns:a16="http://schemas.microsoft.com/office/drawing/2014/main" id="{B89A1823-CBA1-4EB5-B41D-D9A6A22A5C2F}"/>
            </a:ext>
            <a:ext uri="{147F2762-F138-4A5C-976F-8EAC2B608ADB}">
              <a16:predDERef xmlns:a16="http://schemas.microsoft.com/office/drawing/2014/main" pred="{1C72D21D-6BAB-41E6-9BBE-9554709A49E1}"/>
            </a:ext>
          </a:extLst>
        </xdr:cNvPr>
        <xdr:cNvSpPr/>
      </xdr:nvSpPr>
      <xdr:spPr>
        <a:xfrm>
          <a:off x="12115800" y="1238250"/>
          <a:ext cx="171450" cy="19050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7</xdr:row>
      <xdr:rowOff>133350</xdr:rowOff>
    </xdr:from>
    <xdr:to>
      <xdr:col>16</xdr:col>
      <xdr:colOff>219075</xdr:colOff>
      <xdr:row>8</xdr:row>
      <xdr:rowOff>95250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5297F713-DD45-46CD-A0A1-DC008BDC0DE4}"/>
            </a:ext>
            <a:ext uri="{147F2762-F138-4A5C-976F-8EAC2B608ADB}">
              <a16:predDERef xmlns:a16="http://schemas.microsoft.com/office/drawing/2014/main" pred="{B89A1823-CBA1-4EB5-B41D-D9A6A22A5C2F}"/>
            </a:ext>
          </a:extLst>
        </xdr:cNvPr>
        <xdr:cNvSpPr/>
      </xdr:nvSpPr>
      <xdr:spPr>
        <a:xfrm>
          <a:off x="12115800" y="16764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7</xdr:row>
      <xdr:rowOff>133350</xdr:rowOff>
    </xdr:from>
    <xdr:to>
      <xdr:col>16</xdr:col>
      <xdr:colOff>219075</xdr:colOff>
      <xdr:row>8</xdr:row>
      <xdr:rowOff>95250</xdr:rowOff>
    </xdr:to>
    <xdr:sp macro="" textlink="">
      <xdr:nvSpPr>
        <xdr:cNvPr id="36" name="Rectangle 7">
          <a:extLst>
            <a:ext uri="{FF2B5EF4-FFF2-40B4-BE49-F238E27FC236}">
              <a16:creationId xmlns:a16="http://schemas.microsoft.com/office/drawing/2014/main" id="{72E838C1-7767-4BBB-A89A-0A45E5F046F8}"/>
            </a:ext>
            <a:ext uri="{147F2762-F138-4A5C-976F-8EAC2B608ADB}">
              <a16:predDERef xmlns:a16="http://schemas.microsoft.com/office/drawing/2014/main" pred="{5297F713-DD45-46CD-A0A1-DC008BDC0DE4}"/>
            </a:ext>
          </a:extLst>
        </xdr:cNvPr>
        <xdr:cNvSpPr/>
      </xdr:nvSpPr>
      <xdr:spPr>
        <a:xfrm>
          <a:off x="12115800" y="16764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11</xdr:row>
      <xdr:rowOff>133350</xdr:rowOff>
    </xdr:from>
    <xdr:to>
      <xdr:col>16</xdr:col>
      <xdr:colOff>219075</xdr:colOff>
      <xdr:row>12</xdr:row>
      <xdr:rowOff>95250</xdr:rowOff>
    </xdr:to>
    <xdr:sp macro="" textlink="">
      <xdr:nvSpPr>
        <xdr:cNvPr id="37" name="Rectangle 7">
          <a:extLst>
            <a:ext uri="{FF2B5EF4-FFF2-40B4-BE49-F238E27FC236}">
              <a16:creationId xmlns:a16="http://schemas.microsoft.com/office/drawing/2014/main" id="{D6EC996D-8492-4E4C-8727-237B721BEAED}"/>
            </a:ext>
            <a:ext uri="{147F2762-F138-4A5C-976F-8EAC2B608ADB}">
              <a16:predDERef xmlns:a16="http://schemas.microsoft.com/office/drawing/2014/main" pred="{72E838C1-7767-4BBB-A89A-0A45E5F046F8}"/>
            </a:ext>
          </a:extLst>
        </xdr:cNvPr>
        <xdr:cNvSpPr/>
      </xdr:nvSpPr>
      <xdr:spPr>
        <a:xfrm>
          <a:off x="12115800" y="2533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11</xdr:row>
      <xdr:rowOff>133350</xdr:rowOff>
    </xdr:from>
    <xdr:to>
      <xdr:col>16</xdr:col>
      <xdr:colOff>219075</xdr:colOff>
      <xdr:row>12</xdr:row>
      <xdr:rowOff>95250</xdr:rowOff>
    </xdr:to>
    <xdr:sp macro="" textlink="">
      <xdr:nvSpPr>
        <xdr:cNvPr id="38" name="Rectangle 7">
          <a:extLst>
            <a:ext uri="{FF2B5EF4-FFF2-40B4-BE49-F238E27FC236}">
              <a16:creationId xmlns:a16="http://schemas.microsoft.com/office/drawing/2014/main" id="{2D3FD246-F8C2-468E-87F1-28233DC1AB9B}"/>
            </a:ext>
            <a:ext uri="{147F2762-F138-4A5C-976F-8EAC2B608ADB}">
              <a16:predDERef xmlns:a16="http://schemas.microsoft.com/office/drawing/2014/main" pred="{D6EC996D-8492-4E4C-8727-237B721BEAED}"/>
            </a:ext>
          </a:extLst>
        </xdr:cNvPr>
        <xdr:cNvSpPr/>
      </xdr:nvSpPr>
      <xdr:spPr>
        <a:xfrm>
          <a:off x="12115800" y="2533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13</xdr:row>
      <xdr:rowOff>133350</xdr:rowOff>
    </xdr:from>
    <xdr:to>
      <xdr:col>16</xdr:col>
      <xdr:colOff>219075</xdr:colOff>
      <xdr:row>14</xdr:row>
      <xdr:rowOff>95250</xdr:rowOff>
    </xdr:to>
    <xdr:sp macro="" textlink="">
      <xdr:nvSpPr>
        <xdr:cNvPr id="39" name="Rectangle 7">
          <a:extLst>
            <a:ext uri="{FF2B5EF4-FFF2-40B4-BE49-F238E27FC236}">
              <a16:creationId xmlns:a16="http://schemas.microsoft.com/office/drawing/2014/main" id="{FA1BAE46-748F-4989-8AD9-BA999E9DC14D}"/>
            </a:ext>
            <a:ext uri="{147F2762-F138-4A5C-976F-8EAC2B608ADB}">
              <a16:predDERef xmlns:a16="http://schemas.microsoft.com/office/drawing/2014/main" pred="{2D3FD246-F8C2-468E-87F1-28233DC1AB9B}"/>
            </a:ext>
          </a:extLst>
        </xdr:cNvPr>
        <xdr:cNvSpPr/>
      </xdr:nvSpPr>
      <xdr:spPr>
        <a:xfrm>
          <a:off x="12115800" y="2943225"/>
          <a:ext cx="171450" cy="16192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13</xdr:row>
      <xdr:rowOff>133350</xdr:rowOff>
    </xdr:from>
    <xdr:to>
      <xdr:col>16</xdr:col>
      <xdr:colOff>219075</xdr:colOff>
      <xdr:row>14</xdr:row>
      <xdr:rowOff>95250</xdr:rowOff>
    </xdr:to>
    <xdr:sp macro="" textlink="">
      <xdr:nvSpPr>
        <xdr:cNvPr id="40" name="Rectangle 7">
          <a:extLst>
            <a:ext uri="{FF2B5EF4-FFF2-40B4-BE49-F238E27FC236}">
              <a16:creationId xmlns:a16="http://schemas.microsoft.com/office/drawing/2014/main" id="{9401E9BB-D17E-4BB9-94C2-3372F159D5FA}"/>
            </a:ext>
            <a:ext uri="{147F2762-F138-4A5C-976F-8EAC2B608ADB}">
              <a16:predDERef xmlns:a16="http://schemas.microsoft.com/office/drawing/2014/main" pred="{FA1BAE46-748F-4989-8AD9-BA999E9DC14D}"/>
            </a:ext>
          </a:extLst>
        </xdr:cNvPr>
        <xdr:cNvSpPr/>
      </xdr:nvSpPr>
      <xdr:spPr>
        <a:xfrm>
          <a:off x="12115800" y="2943225"/>
          <a:ext cx="171450" cy="16192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15</xdr:row>
      <xdr:rowOff>133350</xdr:rowOff>
    </xdr:from>
    <xdr:to>
      <xdr:col>16</xdr:col>
      <xdr:colOff>219075</xdr:colOff>
      <xdr:row>16</xdr:row>
      <xdr:rowOff>95250</xdr:rowOff>
    </xdr:to>
    <xdr:sp macro="" textlink="">
      <xdr:nvSpPr>
        <xdr:cNvPr id="41" name="Rectangle 7">
          <a:extLst>
            <a:ext uri="{FF2B5EF4-FFF2-40B4-BE49-F238E27FC236}">
              <a16:creationId xmlns:a16="http://schemas.microsoft.com/office/drawing/2014/main" id="{AEC2BA02-58A3-42F3-B878-79E2F884343C}"/>
            </a:ext>
            <a:ext uri="{147F2762-F138-4A5C-976F-8EAC2B608ADB}">
              <a16:predDERef xmlns:a16="http://schemas.microsoft.com/office/drawing/2014/main" pred="{9401E9BB-D17E-4BB9-94C2-3372F159D5FA}"/>
            </a:ext>
          </a:extLst>
        </xdr:cNvPr>
        <xdr:cNvSpPr/>
      </xdr:nvSpPr>
      <xdr:spPr>
        <a:xfrm>
          <a:off x="12115800" y="33623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15</xdr:row>
      <xdr:rowOff>133350</xdr:rowOff>
    </xdr:from>
    <xdr:to>
      <xdr:col>16</xdr:col>
      <xdr:colOff>219075</xdr:colOff>
      <xdr:row>16</xdr:row>
      <xdr:rowOff>95250</xdr:rowOff>
    </xdr:to>
    <xdr:sp macro="" textlink="">
      <xdr:nvSpPr>
        <xdr:cNvPr id="42" name="Rectangle 7">
          <a:extLst>
            <a:ext uri="{FF2B5EF4-FFF2-40B4-BE49-F238E27FC236}">
              <a16:creationId xmlns:a16="http://schemas.microsoft.com/office/drawing/2014/main" id="{903C1034-105B-44F5-861C-A50DB2A8E366}"/>
            </a:ext>
            <a:ext uri="{147F2762-F138-4A5C-976F-8EAC2B608ADB}">
              <a16:predDERef xmlns:a16="http://schemas.microsoft.com/office/drawing/2014/main" pred="{AEC2BA02-58A3-42F3-B878-79E2F884343C}"/>
            </a:ext>
          </a:extLst>
        </xdr:cNvPr>
        <xdr:cNvSpPr/>
      </xdr:nvSpPr>
      <xdr:spPr>
        <a:xfrm>
          <a:off x="12115800" y="33623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3</xdr:row>
      <xdr:rowOff>142875</xdr:rowOff>
    </xdr:from>
    <xdr:to>
      <xdr:col>16</xdr:col>
      <xdr:colOff>219075</xdr:colOff>
      <xdr:row>4</xdr:row>
      <xdr:rowOff>104775</xdr:rowOff>
    </xdr:to>
    <xdr:sp macro="" textlink="">
      <xdr:nvSpPr>
        <xdr:cNvPr id="43" name="Rectangle 6">
          <a:extLst>
            <a:ext uri="{FF2B5EF4-FFF2-40B4-BE49-F238E27FC236}">
              <a16:creationId xmlns:a16="http://schemas.microsoft.com/office/drawing/2014/main" id="{36A69058-48D0-462B-90FE-032582B0D32E}"/>
            </a:ext>
            <a:ext uri="{147F2762-F138-4A5C-976F-8EAC2B608ADB}">
              <a16:predDERef xmlns:a16="http://schemas.microsoft.com/office/drawing/2014/main" pred="{903C1034-105B-44F5-861C-A50DB2A8E366}"/>
            </a:ext>
          </a:extLst>
        </xdr:cNvPr>
        <xdr:cNvSpPr/>
      </xdr:nvSpPr>
      <xdr:spPr>
        <a:xfrm>
          <a:off x="12115800" y="819150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3</xdr:row>
      <xdr:rowOff>142875</xdr:rowOff>
    </xdr:from>
    <xdr:to>
      <xdr:col>16</xdr:col>
      <xdr:colOff>219075</xdr:colOff>
      <xdr:row>4</xdr:row>
      <xdr:rowOff>104775</xdr:rowOff>
    </xdr:to>
    <xdr:sp macro="" textlink="">
      <xdr:nvSpPr>
        <xdr:cNvPr id="44" name="Rectangle 6">
          <a:extLst>
            <a:ext uri="{FF2B5EF4-FFF2-40B4-BE49-F238E27FC236}">
              <a16:creationId xmlns:a16="http://schemas.microsoft.com/office/drawing/2014/main" id="{042C1592-62CC-4712-8E21-D415A0310EB1}"/>
            </a:ext>
            <a:ext uri="{147F2762-F138-4A5C-976F-8EAC2B608ADB}">
              <a16:predDERef xmlns:a16="http://schemas.microsoft.com/office/drawing/2014/main" pred="{36A69058-48D0-462B-90FE-032582B0D32E}"/>
            </a:ext>
          </a:extLst>
        </xdr:cNvPr>
        <xdr:cNvSpPr/>
      </xdr:nvSpPr>
      <xdr:spPr>
        <a:xfrm>
          <a:off x="12115800" y="819150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5</xdr:row>
      <xdr:rowOff>142875</xdr:rowOff>
    </xdr:from>
    <xdr:to>
      <xdr:col>16</xdr:col>
      <xdr:colOff>219075</xdr:colOff>
      <xdr:row>6</xdr:row>
      <xdr:rowOff>104775</xdr:rowOff>
    </xdr:to>
    <xdr:sp macro="" textlink="">
      <xdr:nvSpPr>
        <xdr:cNvPr id="45" name="Rectangle 6">
          <a:extLst>
            <a:ext uri="{FF2B5EF4-FFF2-40B4-BE49-F238E27FC236}">
              <a16:creationId xmlns:a16="http://schemas.microsoft.com/office/drawing/2014/main" id="{AA5C98B7-3EAB-43F6-A11D-46329DDB99FE}"/>
            </a:ext>
            <a:ext uri="{147F2762-F138-4A5C-976F-8EAC2B608ADB}">
              <a16:predDERef xmlns:a16="http://schemas.microsoft.com/office/drawing/2014/main" pred="{042C1592-62CC-4712-8E21-D415A0310EB1}"/>
            </a:ext>
          </a:extLst>
        </xdr:cNvPr>
        <xdr:cNvSpPr/>
      </xdr:nvSpPr>
      <xdr:spPr>
        <a:xfrm>
          <a:off x="12115800" y="1247775"/>
          <a:ext cx="171450" cy="19050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5</xdr:row>
      <xdr:rowOff>142875</xdr:rowOff>
    </xdr:from>
    <xdr:to>
      <xdr:col>16</xdr:col>
      <xdr:colOff>219075</xdr:colOff>
      <xdr:row>6</xdr:row>
      <xdr:rowOff>104775</xdr:rowOff>
    </xdr:to>
    <xdr:sp macro="" textlink="">
      <xdr:nvSpPr>
        <xdr:cNvPr id="46" name="Rectangle 6">
          <a:extLst>
            <a:ext uri="{FF2B5EF4-FFF2-40B4-BE49-F238E27FC236}">
              <a16:creationId xmlns:a16="http://schemas.microsoft.com/office/drawing/2014/main" id="{EC40F5F0-21AF-43B8-B836-AD0E407F653C}"/>
            </a:ext>
            <a:ext uri="{147F2762-F138-4A5C-976F-8EAC2B608ADB}">
              <a16:predDERef xmlns:a16="http://schemas.microsoft.com/office/drawing/2014/main" pred="{AA5C98B7-3EAB-43F6-A11D-46329DDB99FE}"/>
            </a:ext>
          </a:extLst>
        </xdr:cNvPr>
        <xdr:cNvSpPr/>
      </xdr:nvSpPr>
      <xdr:spPr>
        <a:xfrm>
          <a:off x="12115800" y="1247775"/>
          <a:ext cx="171450" cy="19050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7</xdr:row>
      <xdr:rowOff>142875</xdr:rowOff>
    </xdr:from>
    <xdr:to>
      <xdr:col>16</xdr:col>
      <xdr:colOff>219075</xdr:colOff>
      <xdr:row>8</xdr:row>
      <xdr:rowOff>104775</xdr:rowOff>
    </xdr:to>
    <xdr:sp macro="" textlink="">
      <xdr:nvSpPr>
        <xdr:cNvPr id="47" name="Rectangle 4">
          <a:extLst>
            <a:ext uri="{FF2B5EF4-FFF2-40B4-BE49-F238E27FC236}">
              <a16:creationId xmlns:a16="http://schemas.microsoft.com/office/drawing/2014/main" id="{309488D8-5BDF-4548-9277-559E48E7C867}"/>
            </a:ext>
            <a:ext uri="{147F2762-F138-4A5C-976F-8EAC2B608ADB}">
              <a16:predDERef xmlns:a16="http://schemas.microsoft.com/office/drawing/2014/main" pred="{EC40F5F0-21AF-43B8-B836-AD0E407F653C}"/>
            </a:ext>
          </a:extLst>
        </xdr:cNvPr>
        <xdr:cNvSpPr/>
      </xdr:nvSpPr>
      <xdr:spPr>
        <a:xfrm>
          <a:off x="12115800" y="16859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9</xdr:row>
      <xdr:rowOff>142875</xdr:rowOff>
    </xdr:from>
    <xdr:to>
      <xdr:col>16</xdr:col>
      <xdr:colOff>219075</xdr:colOff>
      <xdr:row>10</xdr:row>
      <xdr:rowOff>104775</xdr:rowOff>
    </xdr:to>
    <xdr:sp macro="" textlink="">
      <xdr:nvSpPr>
        <xdr:cNvPr id="48" name="Rectangle 4">
          <a:extLst>
            <a:ext uri="{FF2B5EF4-FFF2-40B4-BE49-F238E27FC236}">
              <a16:creationId xmlns:a16="http://schemas.microsoft.com/office/drawing/2014/main" id="{29DCD6A2-761E-499C-87C8-9C17EE80FA22}"/>
            </a:ext>
            <a:ext uri="{147F2762-F138-4A5C-976F-8EAC2B608ADB}">
              <a16:predDERef xmlns:a16="http://schemas.microsoft.com/office/drawing/2014/main" pred="{309488D8-5BDF-4548-9277-559E48E7C867}"/>
            </a:ext>
          </a:extLst>
        </xdr:cNvPr>
        <xdr:cNvSpPr/>
      </xdr:nvSpPr>
      <xdr:spPr>
        <a:xfrm>
          <a:off x="12115800" y="2105025"/>
          <a:ext cx="171450" cy="19050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1</xdr:col>
      <xdr:colOff>533400</xdr:colOff>
      <xdr:row>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D366CF-E9B2-064B-8B31-D66C9897D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1151467" cy="1114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1</xdr:col>
      <xdr:colOff>533400</xdr:colOff>
      <xdr:row>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3E80D-8EE8-4AD9-A167-1DFB4ED79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1114425" cy="11144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104775</xdr:rowOff>
    </xdr:from>
    <xdr:to>
      <xdr:col>1</xdr:col>
      <xdr:colOff>219075</xdr:colOff>
      <xdr:row>4</xdr:row>
      <xdr:rowOff>47625</xdr:rowOff>
    </xdr:to>
    <xdr:sp macro="" textlink="">
      <xdr:nvSpPr>
        <xdr:cNvPr id="68" name="Rectangle 7">
          <a:extLst>
            <a:ext uri="{FF2B5EF4-FFF2-40B4-BE49-F238E27FC236}">
              <a16:creationId xmlns:a16="http://schemas.microsoft.com/office/drawing/2014/main" id="{538A2BC8-DC23-4A9E-AB22-4860C5B3D34A}"/>
            </a:ext>
            <a:ext uri="{147F2762-F138-4A5C-976F-8EAC2B608ADB}">
              <a16:predDERef xmlns:a16="http://schemas.microsoft.com/office/drawing/2014/main" pred="{E464E601-6D3D-414F-84C6-329307641873}"/>
            </a:ext>
          </a:extLst>
        </xdr:cNvPr>
        <xdr:cNvSpPr/>
      </xdr:nvSpPr>
      <xdr:spPr>
        <a:xfrm>
          <a:off x="771525" y="933450"/>
          <a:ext cx="171450" cy="16192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7</xdr:row>
      <xdr:rowOff>133350</xdr:rowOff>
    </xdr:from>
    <xdr:to>
      <xdr:col>1</xdr:col>
      <xdr:colOff>219075</xdr:colOff>
      <xdr:row>8</xdr:row>
      <xdr:rowOff>95250</xdr:rowOff>
    </xdr:to>
    <xdr:sp macro="" textlink="">
      <xdr:nvSpPr>
        <xdr:cNvPr id="71" name="Rectangle 7">
          <a:extLst>
            <a:ext uri="{FF2B5EF4-FFF2-40B4-BE49-F238E27FC236}">
              <a16:creationId xmlns:a16="http://schemas.microsoft.com/office/drawing/2014/main" id="{B54B7A5B-BB3D-4084-AC30-C78A89F53E33}"/>
            </a:ext>
            <a:ext uri="{147F2762-F138-4A5C-976F-8EAC2B608ADB}">
              <a16:predDERef xmlns:a16="http://schemas.microsoft.com/office/drawing/2014/main" pred="{538A2BC8-DC23-4A9E-AB22-4860C5B3D34A}"/>
            </a:ext>
          </a:extLst>
        </xdr:cNvPr>
        <xdr:cNvSpPr/>
      </xdr:nvSpPr>
      <xdr:spPr>
        <a:xfrm>
          <a:off x="657225" y="18097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</xdr:row>
      <xdr:rowOff>123825</xdr:rowOff>
    </xdr:from>
    <xdr:to>
      <xdr:col>1</xdr:col>
      <xdr:colOff>219075</xdr:colOff>
      <xdr:row>2</xdr:row>
      <xdr:rowOff>85725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29CDB75-C2E0-4BB8-AB44-537AA853360B}"/>
            </a:ext>
            <a:ext uri="{147F2762-F138-4A5C-976F-8EAC2B608ADB}">
              <a16:predDERef xmlns:a16="http://schemas.microsoft.com/office/drawing/2014/main" pred="{B54B7A5B-BB3D-4084-AC30-C78A89F53E33}"/>
            </a:ext>
          </a:extLst>
        </xdr:cNvPr>
        <xdr:cNvSpPr/>
      </xdr:nvSpPr>
      <xdr:spPr>
        <a:xfrm>
          <a:off x="657225" y="5334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5</xdr:row>
      <xdr:rowOff>133350</xdr:rowOff>
    </xdr:from>
    <xdr:to>
      <xdr:col>1</xdr:col>
      <xdr:colOff>219075</xdr:colOff>
      <xdr:row>6</xdr:row>
      <xdr:rowOff>76200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34E2A2B6-C0F4-4A93-B6AB-A2F8A06BA81F}"/>
            </a:ext>
            <a:ext uri="{147F2762-F138-4A5C-976F-8EAC2B608ADB}">
              <a16:predDERef xmlns:a16="http://schemas.microsoft.com/office/drawing/2014/main" pred="{029CDB75-C2E0-4BB8-AB44-537AA853360B}"/>
            </a:ext>
          </a:extLst>
        </xdr:cNvPr>
        <xdr:cNvSpPr/>
      </xdr:nvSpPr>
      <xdr:spPr>
        <a:xfrm>
          <a:off x="657225" y="13716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9</xdr:row>
      <xdr:rowOff>133350</xdr:rowOff>
    </xdr:from>
    <xdr:to>
      <xdr:col>1</xdr:col>
      <xdr:colOff>219075</xdr:colOff>
      <xdr:row>10</xdr:row>
      <xdr:rowOff>76200</xdr:rowOff>
    </xdr:to>
    <xdr:sp macro="" textlink="">
      <xdr:nvSpPr>
        <xdr:cNvPr id="89" name="Rectangle 83">
          <a:extLst>
            <a:ext uri="{FF2B5EF4-FFF2-40B4-BE49-F238E27FC236}">
              <a16:creationId xmlns:a16="http://schemas.microsoft.com/office/drawing/2014/main" id="{E7A5756A-4968-4ECB-BE20-80E5FA237C3D}"/>
            </a:ext>
            <a:ext uri="{147F2762-F138-4A5C-976F-8EAC2B608ADB}">
              <a16:predDERef xmlns:a16="http://schemas.microsoft.com/office/drawing/2014/main" pred="{2DEA8F51-F8C1-4B0E-A89F-22580CF853F3}"/>
            </a:ext>
          </a:extLst>
        </xdr:cNvPr>
        <xdr:cNvSpPr/>
      </xdr:nvSpPr>
      <xdr:spPr>
        <a:xfrm>
          <a:off x="657225" y="13716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17</xdr:row>
      <xdr:rowOff>142875</xdr:rowOff>
    </xdr:from>
    <xdr:to>
      <xdr:col>1</xdr:col>
      <xdr:colOff>219075</xdr:colOff>
      <xdr:row>18</xdr:row>
      <xdr:rowOff>104775</xdr:rowOff>
    </xdr:to>
    <xdr:sp macro="" textlink="">
      <xdr:nvSpPr>
        <xdr:cNvPr id="18" name="Rectangle 6">
          <a:extLst>
            <a:ext uri="{FF2B5EF4-FFF2-40B4-BE49-F238E27FC236}">
              <a16:creationId xmlns:a16="http://schemas.microsoft.com/office/drawing/2014/main" id="{5AE1C358-341C-4077-940D-60D5298F38F8}"/>
            </a:ext>
            <a:ext uri="{147F2762-F138-4A5C-976F-8EAC2B608ADB}">
              <a16:predDERef xmlns:a16="http://schemas.microsoft.com/office/drawing/2014/main" pred="{4D3497D4-CC5A-4B9C-821B-9D3B294DBDFD}"/>
            </a:ext>
          </a:extLst>
        </xdr:cNvPr>
        <xdr:cNvSpPr/>
      </xdr:nvSpPr>
      <xdr:spPr>
        <a:xfrm>
          <a:off x="3981450" y="38100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17</xdr:row>
      <xdr:rowOff>142875</xdr:rowOff>
    </xdr:from>
    <xdr:to>
      <xdr:col>1</xdr:col>
      <xdr:colOff>219075</xdr:colOff>
      <xdr:row>18</xdr:row>
      <xdr:rowOff>104775</xdr:rowOff>
    </xdr:to>
    <xdr:sp macro="" textlink="">
      <xdr:nvSpPr>
        <xdr:cNvPr id="19" name="Rectangle 6">
          <a:extLst>
            <a:ext uri="{FF2B5EF4-FFF2-40B4-BE49-F238E27FC236}">
              <a16:creationId xmlns:a16="http://schemas.microsoft.com/office/drawing/2014/main" id="{AC04CF69-9279-4A19-BB64-630F8E7BE7DB}"/>
            </a:ext>
            <a:ext uri="{147F2762-F138-4A5C-976F-8EAC2B608ADB}">
              <a16:predDERef xmlns:a16="http://schemas.microsoft.com/office/drawing/2014/main" pred="{5AE1C358-341C-4077-940D-60D5298F38F8}"/>
            </a:ext>
          </a:extLst>
        </xdr:cNvPr>
        <xdr:cNvSpPr/>
      </xdr:nvSpPr>
      <xdr:spPr>
        <a:xfrm>
          <a:off x="3981450" y="38100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15</xdr:row>
      <xdr:rowOff>142875</xdr:rowOff>
    </xdr:from>
    <xdr:to>
      <xdr:col>1</xdr:col>
      <xdr:colOff>219075</xdr:colOff>
      <xdr:row>16</xdr:row>
      <xdr:rowOff>104775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3CCE479-D65B-4B99-AFE0-92BB4D86ABAA}"/>
            </a:ext>
            <a:ext uri="{147F2762-F138-4A5C-976F-8EAC2B608ADB}">
              <a16:predDERef xmlns:a16="http://schemas.microsoft.com/office/drawing/2014/main" pred="{39E54407-EF79-4D9F-9224-0349152D6E82}"/>
            </a:ext>
          </a:extLst>
        </xdr:cNvPr>
        <xdr:cNvSpPr/>
      </xdr:nvSpPr>
      <xdr:spPr>
        <a:xfrm>
          <a:off x="3981450" y="38100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15</xdr:row>
      <xdr:rowOff>142875</xdr:rowOff>
    </xdr:from>
    <xdr:to>
      <xdr:col>1</xdr:col>
      <xdr:colOff>219075</xdr:colOff>
      <xdr:row>16</xdr:row>
      <xdr:rowOff>104775</xdr:rowOff>
    </xdr:to>
    <xdr:sp macro="" textlink="">
      <xdr:nvSpPr>
        <xdr:cNvPr id="23" name="Rectangle 6">
          <a:extLst>
            <a:ext uri="{FF2B5EF4-FFF2-40B4-BE49-F238E27FC236}">
              <a16:creationId xmlns:a16="http://schemas.microsoft.com/office/drawing/2014/main" id="{52C3A842-D51D-458E-85F0-3453391DE74C}"/>
            </a:ext>
            <a:ext uri="{147F2762-F138-4A5C-976F-8EAC2B608ADB}">
              <a16:predDERef xmlns:a16="http://schemas.microsoft.com/office/drawing/2014/main" pred="{A3CCE479-D65B-4B99-AFE0-92BB4D86ABAA}"/>
            </a:ext>
          </a:extLst>
        </xdr:cNvPr>
        <xdr:cNvSpPr/>
      </xdr:nvSpPr>
      <xdr:spPr>
        <a:xfrm>
          <a:off x="3981450" y="38100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13</xdr:row>
      <xdr:rowOff>142875</xdr:rowOff>
    </xdr:from>
    <xdr:to>
      <xdr:col>1</xdr:col>
      <xdr:colOff>219075</xdr:colOff>
      <xdr:row>14</xdr:row>
      <xdr:rowOff>104775</xdr:rowOff>
    </xdr:to>
    <xdr:sp macro="" textlink="">
      <xdr:nvSpPr>
        <xdr:cNvPr id="24" name="Rectangle 6">
          <a:extLst>
            <a:ext uri="{FF2B5EF4-FFF2-40B4-BE49-F238E27FC236}">
              <a16:creationId xmlns:a16="http://schemas.microsoft.com/office/drawing/2014/main" id="{C40B98C7-A9A9-4CAE-A1D4-8E3CDB153048}"/>
            </a:ext>
            <a:ext uri="{147F2762-F138-4A5C-976F-8EAC2B608ADB}">
              <a16:predDERef xmlns:a16="http://schemas.microsoft.com/office/drawing/2014/main" pred="{52C3A842-D51D-458E-85F0-3453391DE74C}"/>
            </a:ext>
          </a:extLst>
        </xdr:cNvPr>
        <xdr:cNvSpPr/>
      </xdr:nvSpPr>
      <xdr:spPr>
        <a:xfrm>
          <a:off x="3981450" y="38100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13</xdr:row>
      <xdr:rowOff>142875</xdr:rowOff>
    </xdr:from>
    <xdr:to>
      <xdr:col>1</xdr:col>
      <xdr:colOff>219075</xdr:colOff>
      <xdr:row>14</xdr:row>
      <xdr:rowOff>104775</xdr:rowOff>
    </xdr:to>
    <xdr:sp macro="" textlink="">
      <xdr:nvSpPr>
        <xdr:cNvPr id="25" name="Rectangle 6">
          <a:extLst>
            <a:ext uri="{FF2B5EF4-FFF2-40B4-BE49-F238E27FC236}">
              <a16:creationId xmlns:a16="http://schemas.microsoft.com/office/drawing/2014/main" id="{8DABBE6A-621F-4C48-922B-114D83BFA1DF}"/>
            </a:ext>
            <a:ext uri="{147F2762-F138-4A5C-976F-8EAC2B608ADB}">
              <a16:predDERef xmlns:a16="http://schemas.microsoft.com/office/drawing/2014/main" pred="{C40B98C7-A9A9-4CAE-A1D4-8E3CDB153048}"/>
            </a:ext>
          </a:extLst>
        </xdr:cNvPr>
        <xdr:cNvSpPr/>
      </xdr:nvSpPr>
      <xdr:spPr>
        <a:xfrm>
          <a:off x="3981450" y="38100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11</xdr:row>
      <xdr:rowOff>142875</xdr:rowOff>
    </xdr:from>
    <xdr:to>
      <xdr:col>1</xdr:col>
      <xdr:colOff>219075</xdr:colOff>
      <xdr:row>12</xdr:row>
      <xdr:rowOff>104775</xdr:rowOff>
    </xdr:to>
    <xdr:sp macro="" textlink="">
      <xdr:nvSpPr>
        <xdr:cNvPr id="26" name="Rectangle 6">
          <a:extLst>
            <a:ext uri="{FF2B5EF4-FFF2-40B4-BE49-F238E27FC236}">
              <a16:creationId xmlns:a16="http://schemas.microsoft.com/office/drawing/2014/main" id="{3AD5CACB-9FD7-4561-B253-DFCA5E8DA519}"/>
            </a:ext>
            <a:ext uri="{147F2762-F138-4A5C-976F-8EAC2B608ADB}">
              <a16:predDERef xmlns:a16="http://schemas.microsoft.com/office/drawing/2014/main" pred="{8DABBE6A-621F-4C48-922B-114D83BFA1DF}"/>
            </a:ext>
          </a:extLst>
        </xdr:cNvPr>
        <xdr:cNvSpPr/>
      </xdr:nvSpPr>
      <xdr:spPr>
        <a:xfrm>
          <a:off x="3981450" y="38100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47625</xdr:colOff>
      <xdr:row>11</xdr:row>
      <xdr:rowOff>142875</xdr:rowOff>
    </xdr:from>
    <xdr:to>
      <xdr:col>1</xdr:col>
      <xdr:colOff>219075</xdr:colOff>
      <xdr:row>12</xdr:row>
      <xdr:rowOff>104775</xdr:rowOff>
    </xdr:to>
    <xdr:sp macro="" textlink="">
      <xdr:nvSpPr>
        <xdr:cNvPr id="27" name="Rectangle 6">
          <a:extLst>
            <a:ext uri="{FF2B5EF4-FFF2-40B4-BE49-F238E27FC236}">
              <a16:creationId xmlns:a16="http://schemas.microsoft.com/office/drawing/2014/main" id="{9AA52D17-6A7F-442E-918B-DBA48E005B94}"/>
            </a:ext>
            <a:ext uri="{147F2762-F138-4A5C-976F-8EAC2B608ADB}">
              <a16:predDERef xmlns:a16="http://schemas.microsoft.com/office/drawing/2014/main" pred="{3AD5CACB-9FD7-4561-B253-DFCA5E8DA519}"/>
            </a:ext>
          </a:extLst>
        </xdr:cNvPr>
        <xdr:cNvSpPr/>
      </xdr:nvSpPr>
      <xdr:spPr>
        <a:xfrm>
          <a:off x="3981450" y="38100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</xdr:row>
      <xdr:rowOff>133350</xdr:rowOff>
    </xdr:from>
    <xdr:to>
      <xdr:col>7</xdr:col>
      <xdr:colOff>219075</xdr:colOff>
      <xdr:row>2</xdr:row>
      <xdr:rowOff>76200</xdr:rowOff>
    </xdr:to>
    <xdr:sp macro="" textlink="">
      <xdr:nvSpPr>
        <xdr:cNvPr id="38" name="Rectangle 83">
          <a:extLst>
            <a:ext uri="{FF2B5EF4-FFF2-40B4-BE49-F238E27FC236}">
              <a16:creationId xmlns:a16="http://schemas.microsoft.com/office/drawing/2014/main" id="{197EB43B-2F23-4253-A4C1-7E958F7076A3}"/>
            </a:ext>
            <a:ext uri="{147F2762-F138-4A5C-976F-8EAC2B608ADB}">
              <a16:predDERef xmlns:a16="http://schemas.microsoft.com/office/drawing/2014/main" pred="{D6E3C56D-F658-4F65-9E97-CD2185D517CB}"/>
            </a:ext>
          </a:extLst>
        </xdr:cNvPr>
        <xdr:cNvSpPr/>
      </xdr:nvSpPr>
      <xdr:spPr>
        <a:xfrm>
          <a:off x="771525" y="20955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3</xdr:row>
      <xdr:rowOff>133350</xdr:rowOff>
    </xdr:from>
    <xdr:to>
      <xdr:col>7</xdr:col>
      <xdr:colOff>219075</xdr:colOff>
      <xdr:row>4</xdr:row>
      <xdr:rowOff>76200</xdr:rowOff>
    </xdr:to>
    <xdr:sp macro="" textlink="">
      <xdr:nvSpPr>
        <xdr:cNvPr id="39" name="Rectangle 83">
          <a:extLst>
            <a:ext uri="{FF2B5EF4-FFF2-40B4-BE49-F238E27FC236}">
              <a16:creationId xmlns:a16="http://schemas.microsoft.com/office/drawing/2014/main" id="{4124125E-28D4-4F3B-AB29-411C7309626B}"/>
            </a:ext>
            <a:ext uri="{147F2762-F138-4A5C-976F-8EAC2B608ADB}">
              <a16:predDERef xmlns:a16="http://schemas.microsoft.com/office/drawing/2014/main" pred="{197EB43B-2F23-4253-A4C1-7E958F7076A3}"/>
            </a:ext>
          </a:extLst>
        </xdr:cNvPr>
        <xdr:cNvSpPr/>
      </xdr:nvSpPr>
      <xdr:spPr>
        <a:xfrm>
          <a:off x="771525" y="20955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5</xdr:row>
      <xdr:rowOff>133350</xdr:rowOff>
    </xdr:from>
    <xdr:to>
      <xdr:col>7</xdr:col>
      <xdr:colOff>219075</xdr:colOff>
      <xdr:row>6</xdr:row>
      <xdr:rowOff>76200</xdr:rowOff>
    </xdr:to>
    <xdr:sp macro="" textlink="">
      <xdr:nvSpPr>
        <xdr:cNvPr id="40" name="Rectangle 83">
          <a:extLst>
            <a:ext uri="{FF2B5EF4-FFF2-40B4-BE49-F238E27FC236}">
              <a16:creationId xmlns:a16="http://schemas.microsoft.com/office/drawing/2014/main" id="{756A670B-E5CC-4AA9-9162-E5FB45C1C58D}"/>
            </a:ext>
            <a:ext uri="{147F2762-F138-4A5C-976F-8EAC2B608ADB}">
              <a16:predDERef xmlns:a16="http://schemas.microsoft.com/office/drawing/2014/main" pred="{4124125E-28D4-4F3B-AB29-411C7309626B}"/>
            </a:ext>
          </a:extLst>
        </xdr:cNvPr>
        <xdr:cNvSpPr/>
      </xdr:nvSpPr>
      <xdr:spPr>
        <a:xfrm>
          <a:off x="771525" y="20955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9</xdr:row>
      <xdr:rowOff>133350</xdr:rowOff>
    </xdr:from>
    <xdr:to>
      <xdr:col>7</xdr:col>
      <xdr:colOff>219075</xdr:colOff>
      <xdr:row>10</xdr:row>
      <xdr:rowOff>76200</xdr:rowOff>
    </xdr:to>
    <xdr:sp macro="" textlink="">
      <xdr:nvSpPr>
        <xdr:cNvPr id="43" name="Rectangle 83">
          <a:extLst>
            <a:ext uri="{FF2B5EF4-FFF2-40B4-BE49-F238E27FC236}">
              <a16:creationId xmlns:a16="http://schemas.microsoft.com/office/drawing/2014/main" id="{AC262B2A-CA56-4A94-ACFA-D358F40E6247}"/>
            </a:ext>
            <a:ext uri="{147F2762-F138-4A5C-976F-8EAC2B608ADB}">
              <a16:predDERef xmlns:a16="http://schemas.microsoft.com/office/drawing/2014/main" pred="{756A670B-E5CC-4AA9-9162-E5FB45C1C58D}"/>
            </a:ext>
          </a:extLst>
        </xdr:cNvPr>
        <xdr:cNvSpPr/>
      </xdr:nvSpPr>
      <xdr:spPr>
        <a:xfrm>
          <a:off x="771525" y="20955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7</xdr:row>
      <xdr:rowOff>133350</xdr:rowOff>
    </xdr:from>
    <xdr:to>
      <xdr:col>7</xdr:col>
      <xdr:colOff>219075</xdr:colOff>
      <xdr:row>8</xdr:row>
      <xdr:rowOff>95250</xdr:rowOff>
    </xdr:to>
    <xdr:sp macro="" textlink="">
      <xdr:nvSpPr>
        <xdr:cNvPr id="47" name="Rectangle 7">
          <a:extLst>
            <a:ext uri="{FF2B5EF4-FFF2-40B4-BE49-F238E27FC236}">
              <a16:creationId xmlns:a16="http://schemas.microsoft.com/office/drawing/2014/main" id="{552B2B6D-711A-48D9-97A2-F87BBB1D6F08}"/>
            </a:ext>
            <a:ext uri="{147F2762-F138-4A5C-976F-8EAC2B608ADB}">
              <a16:predDERef xmlns:a16="http://schemas.microsoft.com/office/drawing/2014/main" pred="{AC262B2A-CA56-4A94-ACFA-D358F40E6247}"/>
            </a:ext>
          </a:extLst>
        </xdr:cNvPr>
        <xdr:cNvSpPr/>
      </xdr:nvSpPr>
      <xdr:spPr>
        <a:xfrm>
          <a:off x="771525" y="167640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11</xdr:row>
      <xdr:rowOff>142875</xdr:rowOff>
    </xdr:from>
    <xdr:to>
      <xdr:col>7</xdr:col>
      <xdr:colOff>219075</xdr:colOff>
      <xdr:row>12</xdr:row>
      <xdr:rowOff>104775</xdr:rowOff>
    </xdr:to>
    <xdr:sp macro="" textlink="">
      <xdr:nvSpPr>
        <xdr:cNvPr id="54" name="Rectangle 6">
          <a:extLst>
            <a:ext uri="{FF2B5EF4-FFF2-40B4-BE49-F238E27FC236}">
              <a16:creationId xmlns:a16="http://schemas.microsoft.com/office/drawing/2014/main" id="{0E38EBDC-902E-4E10-928E-7FB9FE43D4F6}"/>
            </a:ext>
            <a:ext uri="{147F2762-F138-4A5C-976F-8EAC2B608ADB}">
              <a16:predDERef xmlns:a16="http://schemas.microsoft.com/office/drawing/2014/main" pred="{552B2B6D-711A-48D9-97A2-F87BBB1D6F08}"/>
            </a:ext>
          </a:extLst>
        </xdr:cNvPr>
        <xdr:cNvSpPr/>
      </xdr:nvSpPr>
      <xdr:spPr>
        <a:xfrm>
          <a:off x="771525" y="254317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11</xdr:row>
      <xdr:rowOff>142875</xdr:rowOff>
    </xdr:from>
    <xdr:to>
      <xdr:col>7</xdr:col>
      <xdr:colOff>219075</xdr:colOff>
      <xdr:row>12</xdr:row>
      <xdr:rowOff>104775</xdr:rowOff>
    </xdr:to>
    <xdr:sp macro="" textlink="">
      <xdr:nvSpPr>
        <xdr:cNvPr id="57" name="Rectangle 6">
          <a:extLst>
            <a:ext uri="{FF2B5EF4-FFF2-40B4-BE49-F238E27FC236}">
              <a16:creationId xmlns:a16="http://schemas.microsoft.com/office/drawing/2014/main" id="{6F8B141C-0626-4A9D-9760-FAD03CEA20A0}"/>
            </a:ext>
            <a:ext uri="{147F2762-F138-4A5C-976F-8EAC2B608ADB}">
              <a16:predDERef xmlns:a16="http://schemas.microsoft.com/office/drawing/2014/main" pred="{0E38EBDC-902E-4E10-928E-7FB9FE43D4F6}"/>
            </a:ext>
          </a:extLst>
        </xdr:cNvPr>
        <xdr:cNvSpPr/>
      </xdr:nvSpPr>
      <xdr:spPr>
        <a:xfrm>
          <a:off x="771525" y="254317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13</xdr:row>
      <xdr:rowOff>142875</xdr:rowOff>
    </xdr:from>
    <xdr:to>
      <xdr:col>7</xdr:col>
      <xdr:colOff>219075</xdr:colOff>
      <xdr:row>14</xdr:row>
      <xdr:rowOff>104775</xdr:rowOff>
    </xdr:to>
    <xdr:sp macro="" textlink="">
      <xdr:nvSpPr>
        <xdr:cNvPr id="62" name="Rectangle 6">
          <a:extLst>
            <a:ext uri="{FF2B5EF4-FFF2-40B4-BE49-F238E27FC236}">
              <a16:creationId xmlns:a16="http://schemas.microsoft.com/office/drawing/2014/main" id="{39376D3A-8DA4-4C9E-AA6F-9B5022891134}"/>
            </a:ext>
            <a:ext uri="{147F2762-F138-4A5C-976F-8EAC2B608ADB}">
              <a16:predDERef xmlns:a16="http://schemas.microsoft.com/office/drawing/2014/main" pred="{6F8B141C-0626-4A9D-9760-FAD03CEA20A0}"/>
            </a:ext>
          </a:extLst>
        </xdr:cNvPr>
        <xdr:cNvSpPr/>
      </xdr:nvSpPr>
      <xdr:spPr>
        <a:xfrm>
          <a:off x="771525" y="2952750"/>
          <a:ext cx="171450" cy="16192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13</xdr:row>
      <xdr:rowOff>142875</xdr:rowOff>
    </xdr:from>
    <xdr:to>
      <xdr:col>7</xdr:col>
      <xdr:colOff>219075</xdr:colOff>
      <xdr:row>14</xdr:row>
      <xdr:rowOff>104775</xdr:rowOff>
    </xdr:to>
    <xdr:sp macro="" textlink="">
      <xdr:nvSpPr>
        <xdr:cNvPr id="69" name="Rectangle 6">
          <a:extLst>
            <a:ext uri="{FF2B5EF4-FFF2-40B4-BE49-F238E27FC236}">
              <a16:creationId xmlns:a16="http://schemas.microsoft.com/office/drawing/2014/main" id="{1C39FA47-0AA8-40D6-ABF9-A0F96FAC26E5}"/>
            </a:ext>
            <a:ext uri="{147F2762-F138-4A5C-976F-8EAC2B608ADB}">
              <a16:predDERef xmlns:a16="http://schemas.microsoft.com/office/drawing/2014/main" pred="{39376D3A-8DA4-4C9E-AA6F-9B5022891134}"/>
            </a:ext>
          </a:extLst>
        </xdr:cNvPr>
        <xdr:cNvSpPr/>
      </xdr:nvSpPr>
      <xdr:spPr>
        <a:xfrm>
          <a:off x="771525" y="2952750"/>
          <a:ext cx="171450" cy="16192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15</xdr:row>
      <xdr:rowOff>142875</xdr:rowOff>
    </xdr:from>
    <xdr:to>
      <xdr:col>7</xdr:col>
      <xdr:colOff>219075</xdr:colOff>
      <xdr:row>16</xdr:row>
      <xdr:rowOff>104775</xdr:rowOff>
    </xdr:to>
    <xdr:sp macro="" textlink="">
      <xdr:nvSpPr>
        <xdr:cNvPr id="70" name="Rectangle 6">
          <a:extLst>
            <a:ext uri="{FF2B5EF4-FFF2-40B4-BE49-F238E27FC236}">
              <a16:creationId xmlns:a16="http://schemas.microsoft.com/office/drawing/2014/main" id="{836595F5-FC9C-4229-8AC6-03DEC3CC3170}"/>
            </a:ext>
            <a:ext uri="{147F2762-F138-4A5C-976F-8EAC2B608ADB}">
              <a16:predDERef xmlns:a16="http://schemas.microsoft.com/office/drawing/2014/main" pred="{1C39FA47-0AA8-40D6-ABF9-A0F96FAC26E5}"/>
            </a:ext>
          </a:extLst>
        </xdr:cNvPr>
        <xdr:cNvSpPr/>
      </xdr:nvSpPr>
      <xdr:spPr>
        <a:xfrm>
          <a:off x="771525" y="33718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15</xdr:row>
      <xdr:rowOff>142875</xdr:rowOff>
    </xdr:from>
    <xdr:to>
      <xdr:col>7</xdr:col>
      <xdr:colOff>219075</xdr:colOff>
      <xdr:row>16</xdr:row>
      <xdr:rowOff>104775</xdr:rowOff>
    </xdr:to>
    <xdr:sp macro="" textlink="">
      <xdr:nvSpPr>
        <xdr:cNvPr id="72" name="Rectangle 6">
          <a:extLst>
            <a:ext uri="{FF2B5EF4-FFF2-40B4-BE49-F238E27FC236}">
              <a16:creationId xmlns:a16="http://schemas.microsoft.com/office/drawing/2014/main" id="{8B6F6B05-3398-4769-8886-E86DFF9EF601}"/>
            </a:ext>
            <a:ext uri="{147F2762-F138-4A5C-976F-8EAC2B608ADB}">
              <a16:predDERef xmlns:a16="http://schemas.microsoft.com/office/drawing/2014/main" pred="{836595F5-FC9C-4229-8AC6-03DEC3CC3170}"/>
            </a:ext>
          </a:extLst>
        </xdr:cNvPr>
        <xdr:cNvSpPr/>
      </xdr:nvSpPr>
      <xdr:spPr>
        <a:xfrm>
          <a:off x="771525" y="33718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17</xdr:row>
      <xdr:rowOff>142875</xdr:rowOff>
    </xdr:from>
    <xdr:to>
      <xdr:col>7</xdr:col>
      <xdr:colOff>219075</xdr:colOff>
      <xdr:row>18</xdr:row>
      <xdr:rowOff>104775</xdr:rowOff>
    </xdr:to>
    <xdr:sp macro="" textlink="">
      <xdr:nvSpPr>
        <xdr:cNvPr id="90" name="Rectangle 6">
          <a:extLst>
            <a:ext uri="{FF2B5EF4-FFF2-40B4-BE49-F238E27FC236}">
              <a16:creationId xmlns:a16="http://schemas.microsoft.com/office/drawing/2014/main" id="{8871076E-261A-4F33-A881-EF5BC57E8757}"/>
            </a:ext>
            <a:ext uri="{147F2762-F138-4A5C-976F-8EAC2B608ADB}">
              <a16:predDERef xmlns:a16="http://schemas.microsoft.com/office/drawing/2014/main" pred="{7BF5942E-93B9-440A-894F-04C7AD649648}"/>
            </a:ext>
          </a:extLst>
        </xdr:cNvPr>
        <xdr:cNvSpPr/>
      </xdr:nvSpPr>
      <xdr:spPr>
        <a:xfrm>
          <a:off x="771525" y="4248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47625</xdr:colOff>
      <xdr:row>17</xdr:row>
      <xdr:rowOff>142875</xdr:rowOff>
    </xdr:from>
    <xdr:to>
      <xdr:col>7</xdr:col>
      <xdr:colOff>219075</xdr:colOff>
      <xdr:row>18</xdr:row>
      <xdr:rowOff>104775</xdr:rowOff>
    </xdr:to>
    <xdr:sp macro="" textlink="">
      <xdr:nvSpPr>
        <xdr:cNvPr id="91" name="Rectangle 6">
          <a:extLst>
            <a:ext uri="{FF2B5EF4-FFF2-40B4-BE49-F238E27FC236}">
              <a16:creationId xmlns:a16="http://schemas.microsoft.com/office/drawing/2014/main" id="{15FF4E03-88CF-4A23-ADB5-914009BCD47D}"/>
            </a:ext>
            <a:ext uri="{147F2762-F138-4A5C-976F-8EAC2B608ADB}">
              <a16:predDERef xmlns:a16="http://schemas.microsoft.com/office/drawing/2014/main" pred="{8871076E-261A-4F33-A881-EF5BC57E8757}"/>
            </a:ext>
          </a:extLst>
        </xdr:cNvPr>
        <xdr:cNvSpPr/>
      </xdr:nvSpPr>
      <xdr:spPr>
        <a:xfrm>
          <a:off x="771525" y="4248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3</xdr:row>
      <xdr:rowOff>133350</xdr:rowOff>
    </xdr:from>
    <xdr:to>
      <xdr:col>16</xdr:col>
      <xdr:colOff>219075</xdr:colOff>
      <xdr:row>4</xdr:row>
      <xdr:rowOff>95250</xdr:rowOff>
    </xdr:to>
    <xdr:sp macro="" textlink="">
      <xdr:nvSpPr>
        <xdr:cNvPr id="151" name="Rectangle 7">
          <a:extLst>
            <a:ext uri="{FF2B5EF4-FFF2-40B4-BE49-F238E27FC236}">
              <a16:creationId xmlns:a16="http://schemas.microsoft.com/office/drawing/2014/main" id="{D7364747-D71C-440C-BDF6-D5D053B3BB1E}"/>
            </a:ext>
            <a:ext uri="{147F2762-F138-4A5C-976F-8EAC2B608ADB}">
              <a16:predDERef xmlns:a16="http://schemas.microsoft.com/office/drawing/2014/main" pred="{5581097E-DEBF-406E-9165-3162435344E0}"/>
            </a:ext>
          </a:extLst>
        </xdr:cNvPr>
        <xdr:cNvSpPr/>
      </xdr:nvSpPr>
      <xdr:spPr>
        <a:xfrm>
          <a:off x="5048250" y="1676400"/>
          <a:ext cx="15240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9</xdr:row>
      <xdr:rowOff>133350</xdr:rowOff>
    </xdr:from>
    <xdr:to>
      <xdr:col>16</xdr:col>
      <xdr:colOff>219075</xdr:colOff>
      <xdr:row>10</xdr:row>
      <xdr:rowOff>76200</xdr:rowOff>
    </xdr:to>
    <xdr:sp macro="" textlink="">
      <xdr:nvSpPr>
        <xdr:cNvPr id="153" name="Rectangle 83">
          <a:extLst>
            <a:ext uri="{FF2B5EF4-FFF2-40B4-BE49-F238E27FC236}">
              <a16:creationId xmlns:a16="http://schemas.microsoft.com/office/drawing/2014/main" id="{7148FFD7-95A3-4823-9B8B-CB2088FA93B2}"/>
            </a:ext>
            <a:ext uri="{147F2762-F138-4A5C-976F-8EAC2B608ADB}">
              <a16:predDERef xmlns:a16="http://schemas.microsoft.com/office/drawing/2014/main" pred="{5CB182DB-4848-4A34-888E-CB766F3526B3}"/>
            </a:ext>
          </a:extLst>
        </xdr:cNvPr>
        <xdr:cNvSpPr/>
      </xdr:nvSpPr>
      <xdr:spPr>
        <a:xfrm>
          <a:off x="5048250" y="2095500"/>
          <a:ext cx="15240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17</xdr:row>
      <xdr:rowOff>133350</xdr:rowOff>
    </xdr:from>
    <xdr:to>
      <xdr:col>16</xdr:col>
      <xdr:colOff>219075</xdr:colOff>
      <xdr:row>18</xdr:row>
      <xdr:rowOff>95250</xdr:rowOff>
    </xdr:to>
    <xdr:sp macro="" textlink="">
      <xdr:nvSpPr>
        <xdr:cNvPr id="159" name="Rectangle 7">
          <a:extLst>
            <a:ext uri="{FF2B5EF4-FFF2-40B4-BE49-F238E27FC236}">
              <a16:creationId xmlns:a16="http://schemas.microsoft.com/office/drawing/2014/main" id="{D3856607-7626-4A6F-AF45-B9B274B5719D}"/>
            </a:ext>
            <a:ext uri="{147F2762-F138-4A5C-976F-8EAC2B608ADB}">
              <a16:predDERef xmlns:a16="http://schemas.microsoft.com/office/drawing/2014/main" pred="{C0346C3D-1B98-4D96-B0F9-F89D8A532BDD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</xdr:row>
      <xdr:rowOff>133350</xdr:rowOff>
    </xdr:from>
    <xdr:to>
      <xdr:col>16</xdr:col>
      <xdr:colOff>219075</xdr:colOff>
      <xdr:row>2</xdr:row>
      <xdr:rowOff>95250</xdr:rowOff>
    </xdr:to>
    <xdr:sp macro="" textlink="">
      <xdr:nvSpPr>
        <xdr:cNvPr id="160" name="Rectangle 7">
          <a:extLst>
            <a:ext uri="{FF2B5EF4-FFF2-40B4-BE49-F238E27FC236}">
              <a16:creationId xmlns:a16="http://schemas.microsoft.com/office/drawing/2014/main" id="{C2D7AFAF-3AA4-4921-B535-DDAF6B0E81D0}"/>
            </a:ext>
            <a:ext uri="{147F2762-F138-4A5C-976F-8EAC2B608ADB}">
              <a16:predDERef xmlns:a16="http://schemas.microsoft.com/office/drawing/2014/main" pred="{D3856607-7626-4A6F-AF45-B9B274B5719D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3</xdr:row>
      <xdr:rowOff>133350</xdr:rowOff>
    </xdr:from>
    <xdr:to>
      <xdr:col>16</xdr:col>
      <xdr:colOff>219075</xdr:colOff>
      <xdr:row>4</xdr:row>
      <xdr:rowOff>95250</xdr:rowOff>
    </xdr:to>
    <xdr:sp macro="" textlink="">
      <xdr:nvSpPr>
        <xdr:cNvPr id="161" name="Rectangle 7">
          <a:extLst>
            <a:ext uri="{FF2B5EF4-FFF2-40B4-BE49-F238E27FC236}">
              <a16:creationId xmlns:a16="http://schemas.microsoft.com/office/drawing/2014/main" id="{F0E4C567-D415-4B95-BB73-144C94B2C313}"/>
            </a:ext>
            <a:ext uri="{147F2762-F138-4A5C-976F-8EAC2B608ADB}">
              <a16:predDERef xmlns:a16="http://schemas.microsoft.com/office/drawing/2014/main" pred="{C2D7AFAF-3AA4-4921-B535-DDAF6B0E81D0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5</xdr:row>
      <xdr:rowOff>133350</xdr:rowOff>
    </xdr:from>
    <xdr:to>
      <xdr:col>16</xdr:col>
      <xdr:colOff>219075</xdr:colOff>
      <xdr:row>6</xdr:row>
      <xdr:rowOff>95250</xdr:rowOff>
    </xdr:to>
    <xdr:sp macro="" textlink="">
      <xdr:nvSpPr>
        <xdr:cNvPr id="162" name="Rectangle 7">
          <a:extLst>
            <a:ext uri="{FF2B5EF4-FFF2-40B4-BE49-F238E27FC236}">
              <a16:creationId xmlns:a16="http://schemas.microsoft.com/office/drawing/2014/main" id="{956996DA-4016-4562-934E-CC2A58647AE6}"/>
            </a:ext>
            <a:ext uri="{147F2762-F138-4A5C-976F-8EAC2B608ADB}">
              <a16:predDERef xmlns:a16="http://schemas.microsoft.com/office/drawing/2014/main" pred="{F0E4C567-D415-4B95-BB73-144C94B2C313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5</xdr:row>
      <xdr:rowOff>133350</xdr:rowOff>
    </xdr:from>
    <xdr:to>
      <xdr:col>16</xdr:col>
      <xdr:colOff>219075</xdr:colOff>
      <xdr:row>6</xdr:row>
      <xdr:rowOff>95250</xdr:rowOff>
    </xdr:to>
    <xdr:sp macro="" textlink="">
      <xdr:nvSpPr>
        <xdr:cNvPr id="163" name="Rectangle 7">
          <a:extLst>
            <a:ext uri="{FF2B5EF4-FFF2-40B4-BE49-F238E27FC236}">
              <a16:creationId xmlns:a16="http://schemas.microsoft.com/office/drawing/2014/main" id="{4AC6773E-EDC9-4E26-A9FA-627E942FE815}"/>
            </a:ext>
            <a:ext uri="{147F2762-F138-4A5C-976F-8EAC2B608ADB}">
              <a16:predDERef xmlns:a16="http://schemas.microsoft.com/office/drawing/2014/main" pred="{956996DA-4016-4562-934E-CC2A58647AE6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7</xdr:row>
      <xdr:rowOff>133350</xdr:rowOff>
    </xdr:from>
    <xdr:to>
      <xdr:col>16</xdr:col>
      <xdr:colOff>219075</xdr:colOff>
      <xdr:row>8</xdr:row>
      <xdr:rowOff>95250</xdr:rowOff>
    </xdr:to>
    <xdr:sp macro="" textlink="">
      <xdr:nvSpPr>
        <xdr:cNvPr id="164" name="Rectangle 7">
          <a:extLst>
            <a:ext uri="{FF2B5EF4-FFF2-40B4-BE49-F238E27FC236}">
              <a16:creationId xmlns:a16="http://schemas.microsoft.com/office/drawing/2014/main" id="{F56C45B3-8CA9-4F89-AC9F-C8699D1BA391}"/>
            </a:ext>
            <a:ext uri="{147F2762-F138-4A5C-976F-8EAC2B608ADB}">
              <a16:predDERef xmlns:a16="http://schemas.microsoft.com/office/drawing/2014/main" pred="{4AC6773E-EDC9-4E26-A9FA-627E942FE815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7</xdr:row>
      <xdr:rowOff>133350</xdr:rowOff>
    </xdr:from>
    <xdr:to>
      <xdr:col>16</xdr:col>
      <xdr:colOff>219075</xdr:colOff>
      <xdr:row>8</xdr:row>
      <xdr:rowOff>95250</xdr:rowOff>
    </xdr:to>
    <xdr:sp macro="" textlink="">
      <xdr:nvSpPr>
        <xdr:cNvPr id="165" name="Rectangle 7">
          <a:extLst>
            <a:ext uri="{FF2B5EF4-FFF2-40B4-BE49-F238E27FC236}">
              <a16:creationId xmlns:a16="http://schemas.microsoft.com/office/drawing/2014/main" id="{E359C1D0-2FF9-4AE0-9467-3FA6DDBDAED4}"/>
            </a:ext>
            <a:ext uri="{147F2762-F138-4A5C-976F-8EAC2B608ADB}">
              <a16:predDERef xmlns:a16="http://schemas.microsoft.com/office/drawing/2014/main" pred="{F56C45B3-8CA9-4F89-AC9F-C8699D1BA391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11</xdr:row>
      <xdr:rowOff>133350</xdr:rowOff>
    </xdr:from>
    <xdr:to>
      <xdr:col>16</xdr:col>
      <xdr:colOff>219075</xdr:colOff>
      <xdr:row>12</xdr:row>
      <xdr:rowOff>95250</xdr:rowOff>
    </xdr:to>
    <xdr:sp macro="" textlink="">
      <xdr:nvSpPr>
        <xdr:cNvPr id="166" name="Rectangle 7">
          <a:extLst>
            <a:ext uri="{FF2B5EF4-FFF2-40B4-BE49-F238E27FC236}">
              <a16:creationId xmlns:a16="http://schemas.microsoft.com/office/drawing/2014/main" id="{5910C379-2276-42DD-9D50-111C8972EA92}"/>
            </a:ext>
            <a:ext uri="{147F2762-F138-4A5C-976F-8EAC2B608ADB}">
              <a16:predDERef xmlns:a16="http://schemas.microsoft.com/office/drawing/2014/main" pred="{E359C1D0-2FF9-4AE0-9467-3FA6DDBDAED4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11</xdr:row>
      <xdr:rowOff>133350</xdr:rowOff>
    </xdr:from>
    <xdr:to>
      <xdr:col>16</xdr:col>
      <xdr:colOff>219075</xdr:colOff>
      <xdr:row>12</xdr:row>
      <xdr:rowOff>95250</xdr:rowOff>
    </xdr:to>
    <xdr:sp macro="" textlink="">
      <xdr:nvSpPr>
        <xdr:cNvPr id="167" name="Rectangle 7">
          <a:extLst>
            <a:ext uri="{FF2B5EF4-FFF2-40B4-BE49-F238E27FC236}">
              <a16:creationId xmlns:a16="http://schemas.microsoft.com/office/drawing/2014/main" id="{5C15282B-3FD5-4FD2-9B10-BA9B66182349}"/>
            </a:ext>
            <a:ext uri="{147F2762-F138-4A5C-976F-8EAC2B608ADB}">
              <a16:predDERef xmlns:a16="http://schemas.microsoft.com/office/drawing/2014/main" pred="{5910C379-2276-42DD-9D50-111C8972EA92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13</xdr:row>
      <xdr:rowOff>133350</xdr:rowOff>
    </xdr:from>
    <xdr:to>
      <xdr:col>16</xdr:col>
      <xdr:colOff>219075</xdr:colOff>
      <xdr:row>14</xdr:row>
      <xdr:rowOff>95250</xdr:rowOff>
    </xdr:to>
    <xdr:sp macro="" textlink="">
      <xdr:nvSpPr>
        <xdr:cNvPr id="168" name="Rectangle 7">
          <a:extLst>
            <a:ext uri="{FF2B5EF4-FFF2-40B4-BE49-F238E27FC236}">
              <a16:creationId xmlns:a16="http://schemas.microsoft.com/office/drawing/2014/main" id="{5A0C9903-F90D-4996-8396-FED7BF858704}"/>
            </a:ext>
            <a:ext uri="{147F2762-F138-4A5C-976F-8EAC2B608ADB}">
              <a16:predDERef xmlns:a16="http://schemas.microsoft.com/office/drawing/2014/main" pred="{5C15282B-3FD5-4FD2-9B10-BA9B66182349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13</xdr:row>
      <xdr:rowOff>133350</xdr:rowOff>
    </xdr:from>
    <xdr:to>
      <xdr:col>16</xdr:col>
      <xdr:colOff>219075</xdr:colOff>
      <xdr:row>14</xdr:row>
      <xdr:rowOff>95250</xdr:rowOff>
    </xdr:to>
    <xdr:sp macro="" textlink="">
      <xdr:nvSpPr>
        <xdr:cNvPr id="169" name="Rectangle 7">
          <a:extLst>
            <a:ext uri="{FF2B5EF4-FFF2-40B4-BE49-F238E27FC236}">
              <a16:creationId xmlns:a16="http://schemas.microsoft.com/office/drawing/2014/main" id="{4868AA44-A77F-421F-BB08-B7E5957212AE}"/>
            </a:ext>
            <a:ext uri="{147F2762-F138-4A5C-976F-8EAC2B608ADB}">
              <a16:predDERef xmlns:a16="http://schemas.microsoft.com/office/drawing/2014/main" pred="{5A0C9903-F90D-4996-8396-FED7BF858704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15</xdr:row>
      <xdr:rowOff>133350</xdr:rowOff>
    </xdr:from>
    <xdr:to>
      <xdr:col>16</xdr:col>
      <xdr:colOff>219075</xdr:colOff>
      <xdr:row>16</xdr:row>
      <xdr:rowOff>95250</xdr:rowOff>
    </xdr:to>
    <xdr:sp macro="" textlink="">
      <xdr:nvSpPr>
        <xdr:cNvPr id="170" name="Rectangle 7">
          <a:extLst>
            <a:ext uri="{FF2B5EF4-FFF2-40B4-BE49-F238E27FC236}">
              <a16:creationId xmlns:a16="http://schemas.microsoft.com/office/drawing/2014/main" id="{53477753-02A2-4219-BD6B-381CEAC127A4}"/>
            </a:ext>
            <a:ext uri="{147F2762-F138-4A5C-976F-8EAC2B608ADB}">
              <a16:predDERef xmlns:a16="http://schemas.microsoft.com/office/drawing/2014/main" pred="{4868AA44-A77F-421F-BB08-B7E5957212AE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15</xdr:row>
      <xdr:rowOff>133350</xdr:rowOff>
    </xdr:from>
    <xdr:to>
      <xdr:col>16</xdr:col>
      <xdr:colOff>219075</xdr:colOff>
      <xdr:row>16</xdr:row>
      <xdr:rowOff>95250</xdr:rowOff>
    </xdr:to>
    <xdr:sp macro="" textlink="">
      <xdr:nvSpPr>
        <xdr:cNvPr id="171" name="Rectangle 7">
          <a:extLst>
            <a:ext uri="{FF2B5EF4-FFF2-40B4-BE49-F238E27FC236}">
              <a16:creationId xmlns:a16="http://schemas.microsoft.com/office/drawing/2014/main" id="{EB5F6477-26E3-4D26-868B-598CDDC215C9}"/>
            </a:ext>
            <a:ext uri="{147F2762-F138-4A5C-976F-8EAC2B608ADB}">
              <a16:predDERef xmlns:a16="http://schemas.microsoft.com/office/drawing/2014/main" pred="{53477753-02A2-4219-BD6B-381CEAC127A4}"/>
            </a:ext>
          </a:extLst>
        </xdr:cNvPr>
        <xdr:cNvSpPr/>
      </xdr:nvSpPr>
      <xdr:spPr>
        <a:xfrm>
          <a:off x="12306300" y="809625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3</xdr:row>
      <xdr:rowOff>142875</xdr:rowOff>
    </xdr:from>
    <xdr:to>
      <xdr:col>16</xdr:col>
      <xdr:colOff>219075</xdr:colOff>
      <xdr:row>4</xdr:row>
      <xdr:rowOff>104775</xdr:rowOff>
    </xdr:to>
    <xdr:sp macro="" textlink="">
      <xdr:nvSpPr>
        <xdr:cNvPr id="174" name="Rectangle 6">
          <a:extLst>
            <a:ext uri="{FF2B5EF4-FFF2-40B4-BE49-F238E27FC236}">
              <a16:creationId xmlns:a16="http://schemas.microsoft.com/office/drawing/2014/main" id="{CCE0E03B-2407-46CD-84FA-BEF91841F49D}"/>
            </a:ext>
            <a:ext uri="{147F2762-F138-4A5C-976F-8EAC2B608ADB}">
              <a16:predDERef xmlns:a16="http://schemas.microsoft.com/office/drawing/2014/main" pred="{01B2E291-D4D1-4917-906A-6C4A30965085}"/>
            </a:ext>
          </a:extLst>
        </xdr:cNvPr>
        <xdr:cNvSpPr/>
      </xdr:nvSpPr>
      <xdr:spPr>
        <a:xfrm>
          <a:off x="22078950" y="819150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3</xdr:row>
      <xdr:rowOff>142875</xdr:rowOff>
    </xdr:from>
    <xdr:to>
      <xdr:col>16</xdr:col>
      <xdr:colOff>219075</xdr:colOff>
      <xdr:row>4</xdr:row>
      <xdr:rowOff>104775</xdr:rowOff>
    </xdr:to>
    <xdr:sp macro="" textlink="">
      <xdr:nvSpPr>
        <xdr:cNvPr id="175" name="Rectangle 6">
          <a:extLst>
            <a:ext uri="{FF2B5EF4-FFF2-40B4-BE49-F238E27FC236}">
              <a16:creationId xmlns:a16="http://schemas.microsoft.com/office/drawing/2014/main" id="{E9D39547-1041-4BEB-8BA8-6AC3F6ED6181}"/>
            </a:ext>
            <a:ext uri="{147F2762-F138-4A5C-976F-8EAC2B608ADB}">
              <a16:predDERef xmlns:a16="http://schemas.microsoft.com/office/drawing/2014/main" pred="{CCE0E03B-2407-46CD-84FA-BEF91841F49D}"/>
            </a:ext>
          </a:extLst>
        </xdr:cNvPr>
        <xdr:cNvSpPr/>
      </xdr:nvSpPr>
      <xdr:spPr>
        <a:xfrm>
          <a:off x="22078950" y="819150"/>
          <a:ext cx="171450" cy="180975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5</xdr:row>
      <xdr:rowOff>142875</xdr:rowOff>
    </xdr:from>
    <xdr:to>
      <xdr:col>16</xdr:col>
      <xdr:colOff>219075</xdr:colOff>
      <xdr:row>6</xdr:row>
      <xdr:rowOff>104775</xdr:rowOff>
    </xdr:to>
    <xdr:sp macro="" textlink="">
      <xdr:nvSpPr>
        <xdr:cNvPr id="176" name="Rectangle 6">
          <a:extLst>
            <a:ext uri="{FF2B5EF4-FFF2-40B4-BE49-F238E27FC236}">
              <a16:creationId xmlns:a16="http://schemas.microsoft.com/office/drawing/2014/main" id="{2615F133-417C-42DF-BC09-3959B494B308}"/>
            </a:ext>
            <a:ext uri="{147F2762-F138-4A5C-976F-8EAC2B608ADB}">
              <a16:predDERef xmlns:a16="http://schemas.microsoft.com/office/drawing/2014/main" pred="{E9D39547-1041-4BEB-8BA8-6AC3F6ED6181}"/>
            </a:ext>
          </a:extLst>
        </xdr:cNvPr>
        <xdr:cNvSpPr/>
      </xdr:nvSpPr>
      <xdr:spPr>
        <a:xfrm>
          <a:off x="22078950" y="1247775"/>
          <a:ext cx="171450" cy="19050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5</xdr:row>
      <xdr:rowOff>142875</xdr:rowOff>
    </xdr:from>
    <xdr:to>
      <xdr:col>16</xdr:col>
      <xdr:colOff>219075</xdr:colOff>
      <xdr:row>6</xdr:row>
      <xdr:rowOff>104775</xdr:rowOff>
    </xdr:to>
    <xdr:sp macro="" textlink="">
      <xdr:nvSpPr>
        <xdr:cNvPr id="177" name="Rectangle 6">
          <a:extLst>
            <a:ext uri="{FF2B5EF4-FFF2-40B4-BE49-F238E27FC236}">
              <a16:creationId xmlns:a16="http://schemas.microsoft.com/office/drawing/2014/main" id="{A884BCD6-32A5-45CF-9E22-4E3C4B8732CC}"/>
            </a:ext>
            <a:ext uri="{147F2762-F138-4A5C-976F-8EAC2B608ADB}">
              <a16:predDERef xmlns:a16="http://schemas.microsoft.com/office/drawing/2014/main" pred="{2615F133-417C-42DF-BC09-3959B494B308}"/>
            </a:ext>
          </a:extLst>
        </xdr:cNvPr>
        <xdr:cNvSpPr/>
      </xdr:nvSpPr>
      <xdr:spPr>
        <a:xfrm>
          <a:off x="22078950" y="1247775"/>
          <a:ext cx="171450" cy="19050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7</xdr:row>
      <xdr:rowOff>142875</xdr:rowOff>
    </xdr:from>
    <xdr:to>
      <xdr:col>16</xdr:col>
      <xdr:colOff>219075</xdr:colOff>
      <xdr:row>8</xdr:row>
      <xdr:rowOff>104775</xdr:rowOff>
    </xdr:to>
    <xdr:sp macro="" textlink="">
      <xdr:nvSpPr>
        <xdr:cNvPr id="178" name="Rectangle 4">
          <a:extLst>
            <a:ext uri="{FF2B5EF4-FFF2-40B4-BE49-F238E27FC236}">
              <a16:creationId xmlns:a16="http://schemas.microsoft.com/office/drawing/2014/main" id="{89182FE9-55CF-4B1C-AD40-BB890188117B}"/>
            </a:ext>
            <a:ext uri="{147F2762-F138-4A5C-976F-8EAC2B608ADB}">
              <a16:predDERef xmlns:a16="http://schemas.microsoft.com/office/drawing/2014/main" pred="{A884BCD6-32A5-45CF-9E22-4E3C4B8732CC}"/>
            </a:ext>
          </a:extLst>
        </xdr:cNvPr>
        <xdr:cNvSpPr/>
      </xdr:nvSpPr>
      <xdr:spPr>
        <a:xfrm>
          <a:off x="22078950" y="16859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16</xdr:col>
      <xdr:colOff>47625</xdr:colOff>
      <xdr:row>9</xdr:row>
      <xdr:rowOff>142875</xdr:rowOff>
    </xdr:from>
    <xdr:to>
      <xdr:col>16</xdr:col>
      <xdr:colOff>219075</xdr:colOff>
      <xdr:row>10</xdr:row>
      <xdr:rowOff>104775</xdr:rowOff>
    </xdr:to>
    <xdr:sp macro="" textlink="">
      <xdr:nvSpPr>
        <xdr:cNvPr id="179" name="Rectangle 4">
          <a:extLst>
            <a:ext uri="{FF2B5EF4-FFF2-40B4-BE49-F238E27FC236}">
              <a16:creationId xmlns:a16="http://schemas.microsoft.com/office/drawing/2014/main" id="{7370DAA5-6A80-4CF9-BC71-DB1294C0C48C}"/>
            </a:ext>
            <a:ext uri="{147F2762-F138-4A5C-976F-8EAC2B608ADB}">
              <a16:predDERef xmlns:a16="http://schemas.microsoft.com/office/drawing/2014/main" pred="{89182FE9-55CF-4B1C-AD40-BB890188117B}"/>
            </a:ext>
          </a:extLst>
        </xdr:cNvPr>
        <xdr:cNvSpPr/>
      </xdr:nvSpPr>
      <xdr:spPr>
        <a:xfrm>
          <a:off x="22078950" y="2105025"/>
          <a:ext cx="171450" cy="19050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3</xdr:row>
      <xdr:rowOff>0</xdr:rowOff>
    </xdr:from>
    <xdr:to>
      <xdr:col>11</xdr:col>
      <xdr:colOff>190500</xdr:colOff>
      <xdr:row>3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A685BB8-5D84-4CD6-B5A3-FA74355ECE3D}"/>
            </a:ext>
            <a:ext uri="{147F2762-F138-4A5C-976F-8EAC2B608ADB}">
              <a16:predDERef xmlns:a16="http://schemas.microsoft.com/office/drawing/2014/main" pred="{926E6AD4-F2A1-A848-4AF8-322BBBF499C7}"/>
            </a:ext>
          </a:extLst>
        </xdr:cNvPr>
        <xdr:cNvSpPr/>
      </xdr:nvSpPr>
      <xdr:spPr>
        <a:xfrm>
          <a:off x="6067425" y="390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4</xdr:row>
      <xdr:rowOff>0</xdr:rowOff>
    </xdr:from>
    <xdr:to>
      <xdr:col>11</xdr:col>
      <xdr:colOff>190500</xdr:colOff>
      <xdr:row>4</xdr:row>
      <xdr:rowOff>171450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FB6565B8-27E5-4171-979C-D249D3E53E84}"/>
            </a:ext>
            <a:ext uri="{147F2762-F138-4A5C-976F-8EAC2B608ADB}">
              <a16:predDERef xmlns:a16="http://schemas.microsoft.com/office/drawing/2014/main" pred="{DA685BB8-5D84-4CD6-B5A3-FA74355ECE3D}"/>
            </a:ext>
          </a:extLst>
        </xdr:cNvPr>
        <xdr:cNvSpPr/>
      </xdr:nvSpPr>
      <xdr:spPr>
        <a:xfrm>
          <a:off x="6067425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5</xdr:row>
      <xdr:rowOff>0</xdr:rowOff>
    </xdr:from>
    <xdr:to>
      <xdr:col>11</xdr:col>
      <xdr:colOff>190500</xdr:colOff>
      <xdr:row>5</xdr:row>
      <xdr:rowOff>171450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5B3ABF8-5C8B-4D52-A7C3-023F5D990C9D}"/>
            </a:ext>
            <a:ext uri="{147F2762-F138-4A5C-976F-8EAC2B608ADB}">
              <a16:predDERef xmlns:a16="http://schemas.microsoft.com/office/drawing/2014/main" pred="{FB6565B8-27E5-4171-979C-D249D3E53E84}"/>
            </a:ext>
          </a:extLst>
        </xdr:cNvPr>
        <xdr:cNvSpPr/>
      </xdr:nvSpPr>
      <xdr:spPr>
        <a:xfrm>
          <a:off x="6067425" y="771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6</xdr:row>
      <xdr:rowOff>0</xdr:rowOff>
    </xdr:from>
    <xdr:to>
      <xdr:col>11</xdr:col>
      <xdr:colOff>190500</xdr:colOff>
      <xdr:row>6</xdr:row>
      <xdr:rowOff>171450</xdr:rowOff>
    </xdr:to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07963E09-C806-4310-876D-0B6E3846ED9E}"/>
            </a:ext>
            <a:ext uri="{147F2762-F138-4A5C-976F-8EAC2B608ADB}">
              <a16:predDERef xmlns:a16="http://schemas.microsoft.com/office/drawing/2014/main" pred="{95B3ABF8-5C8B-4D52-A7C3-023F5D990C9D}"/>
            </a:ext>
          </a:extLst>
        </xdr:cNvPr>
        <xdr:cNvSpPr/>
      </xdr:nvSpPr>
      <xdr:spPr>
        <a:xfrm>
          <a:off x="6067425" y="962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2</xdr:row>
      <xdr:rowOff>0</xdr:rowOff>
    </xdr:from>
    <xdr:to>
      <xdr:col>11</xdr:col>
      <xdr:colOff>190500</xdr:colOff>
      <xdr:row>2</xdr:row>
      <xdr:rowOff>171450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294B7306-E8ED-48B0-B7D5-E172490FEE9E}"/>
            </a:ext>
            <a:ext uri="{147F2762-F138-4A5C-976F-8EAC2B608ADB}">
              <a16:predDERef xmlns:a16="http://schemas.microsoft.com/office/drawing/2014/main" pred="{07963E09-C806-4310-876D-0B6E3846ED9E}"/>
            </a:ext>
          </a:extLst>
        </xdr:cNvPr>
        <xdr:cNvSpPr/>
      </xdr:nvSpPr>
      <xdr:spPr>
        <a:xfrm>
          <a:off x="6067425" y="200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7</xdr:row>
      <xdr:rowOff>0</xdr:rowOff>
    </xdr:from>
    <xdr:to>
      <xdr:col>11</xdr:col>
      <xdr:colOff>190500</xdr:colOff>
      <xdr:row>7</xdr:row>
      <xdr:rowOff>171450</xdr:rowOff>
    </xdr:to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686E498A-AB6E-4D54-980B-BA35DB48A3AB}"/>
            </a:ext>
            <a:ext uri="{147F2762-F138-4A5C-976F-8EAC2B608ADB}">
              <a16:predDERef xmlns:a16="http://schemas.microsoft.com/office/drawing/2014/main" pred="{294B7306-E8ED-48B0-B7D5-E172490FEE9E}"/>
            </a:ext>
          </a:extLst>
        </xdr:cNvPr>
        <xdr:cNvSpPr/>
      </xdr:nvSpPr>
      <xdr:spPr>
        <a:xfrm>
          <a:off x="6067425" y="1152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8</xdr:row>
      <xdr:rowOff>0</xdr:rowOff>
    </xdr:from>
    <xdr:to>
      <xdr:col>11</xdr:col>
      <xdr:colOff>190500</xdr:colOff>
      <xdr:row>8</xdr:row>
      <xdr:rowOff>171450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BB4A7A29-F154-457F-AF06-D76C55236642}"/>
            </a:ext>
            <a:ext uri="{147F2762-F138-4A5C-976F-8EAC2B608ADB}">
              <a16:predDERef xmlns:a16="http://schemas.microsoft.com/office/drawing/2014/main" pred="{686E498A-AB6E-4D54-980B-BA35DB48A3AB}"/>
            </a:ext>
          </a:extLst>
        </xdr:cNvPr>
        <xdr:cNvSpPr/>
      </xdr:nvSpPr>
      <xdr:spPr>
        <a:xfrm>
          <a:off x="6067425" y="1343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9</xdr:row>
      <xdr:rowOff>0</xdr:rowOff>
    </xdr:from>
    <xdr:to>
      <xdr:col>11</xdr:col>
      <xdr:colOff>190500</xdr:colOff>
      <xdr:row>9</xdr:row>
      <xdr:rowOff>171450</xdr:rowOff>
    </xdr:to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171D73AE-F927-45B6-9B7D-B2A05FE53CCC}"/>
            </a:ext>
            <a:ext uri="{147F2762-F138-4A5C-976F-8EAC2B608ADB}">
              <a16:predDERef xmlns:a16="http://schemas.microsoft.com/office/drawing/2014/main" pred="{BB4A7A29-F154-457F-AF06-D76C55236642}"/>
            </a:ext>
          </a:extLst>
        </xdr:cNvPr>
        <xdr:cNvSpPr/>
      </xdr:nvSpPr>
      <xdr:spPr>
        <a:xfrm>
          <a:off x="6067425" y="1533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10</xdr:row>
      <xdr:rowOff>0</xdr:rowOff>
    </xdr:from>
    <xdr:to>
      <xdr:col>11</xdr:col>
      <xdr:colOff>190500</xdr:colOff>
      <xdr:row>10</xdr:row>
      <xdr:rowOff>171450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3AF1DDBC-C83D-4FFD-B4CF-E18B2050375F}"/>
            </a:ext>
            <a:ext uri="{147F2762-F138-4A5C-976F-8EAC2B608ADB}">
              <a16:predDERef xmlns:a16="http://schemas.microsoft.com/office/drawing/2014/main" pred="{171D73AE-F927-45B6-9B7D-B2A05FE53CCC}"/>
            </a:ext>
          </a:extLst>
        </xdr:cNvPr>
        <xdr:cNvSpPr/>
      </xdr:nvSpPr>
      <xdr:spPr>
        <a:xfrm>
          <a:off x="6067425" y="1724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11</xdr:row>
      <xdr:rowOff>0</xdr:rowOff>
    </xdr:from>
    <xdr:to>
      <xdr:col>11</xdr:col>
      <xdr:colOff>190500</xdr:colOff>
      <xdr:row>11</xdr:row>
      <xdr:rowOff>171450</xdr:rowOff>
    </xdr:to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0BDD7B7B-C9EF-43AB-8F60-72C3E7809043}"/>
            </a:ext>
            <a:ext uri="{147F2762-F138-4A5C-976F-8EAC2B608ADB}">
              <a16:predDERef xmlns:a16="http://schemas.microsoft.com/office/drawing/2014/main" pred="{3AF1DDBC-C83D-4FFD-B4CF-E18B2050375F}"/>
            </a:ext>
          </a:extLst>
        </xdr:cNvPr>
        <xdr:cNvSpPr/>
      </xdr:nvSpPr>
      <xdr:spPr>
        <a:xfrm>
          <a:off x="6067425" y="1914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2</xdr:row>
      <xdr:rowOff>0</xdr:rowOff>
    </xdr:from>
    <xdr:to>
      <xdr:col>14</xdr:col>
      <xdr:colOff>190500</xdr:colOff>
      <xdr:row>2</xdr:row>
      <xdr:rowOff>171450</xdr:rowOff>
    </xdr:to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93929065-BE4D-4DDB-BA81-CD6E62071C54}"/>
            </a:ext>
            <a:ext uri="{147F2762-F138-4A5C-976F-8EAC2B608ADB}">
              <a16:predDERef xmlns:a16="http://schemas.microsoft.com/office/drawing/2014/main" pred="{0BDD7B7B-C9EF-43AB-8F60-72C3E7809043}"/>
            </a:ext>
          </a:extLst>
        </xdr:cNvPr>
        <xdr:cNvSpPr/>
      </xdr:nvSpPr>
      <xdr:spPr>
        <a:xfrm>
          <a:off x="12087225" y="200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3</xdr:row>
      <xdr:rowOff>0</xdr:rowOff>
    </xdr:from>
    <xdr:to>
      <xdr:col>14</xdr:col>
      <xdr:colOff>190500</xdr:colOff>
      <xdr:row>3</xdr:row>
      <xdr:rowOff>171450</xdr:rowOff>
    </xdr:to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80D41EDA-9F72-4008-8EBF-5A2736CF496B}"/>
            </a:ext>
            <a:ext uri="{147F2762-F138-4A5C-976F-8EAC2B608ADB}">
              <a16:predDERef xmlns:a16="http://schemas.microsoft.com/office/drawing/2014/main" pred="{93929065-BE4D-4DDB-BA81-CD6E62071C54}"/>
            </a:ext>
          </a:extLst>
        </xdr:cNvPr>
        <xdr:cNvSpPr/>
      </xdr:nvSpPr>
      <xdr:spPr>
        <a:xfrm>
          <a:off x="12087225" y="390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4</xdr:row>
      <xdr:rowOff>0</xdr:rowOff>
    </xdr:from>
    <xdr:to>
      <xdr:col>14</xdr:col>
      <xdr:colOff>190500</xdr:colOff>
      <xdr:row>4</xdr:row>
      <xdr:rowOff>171450</xdr:rowOff>
    </xdr:to>
    <xdr:sp macro="" textlink="">
      <xdr:nvSpPr>
        <xdr:cNvPr id="14" name="Rectangle 1">
          <a:extLst>
            <a:ext uri="{FF2B5EF4-FFF2-40B4-BE49-F238E27FC236}">
              <a16:creationId xmlns:a16="http://schemas.microsoft.com/office/drawing/2014/main" id="{AFFD5693-A61D-4A5D-8F2A-11A041D922BF}"/>
            </a:ext>
            <a:ext uri="{147F2762-F138-4A5C-976F-8EAC2B608ADB}">
              <a16:predDERef xmlns:a16="http://schemas.microsoft.com/office/drawing/2014/main" pred="{80D41EDA-9F72-4008-8EBF-5A2736CF496B}"/>
            </a:ext>
          </a:extLst>
        </xdr:cNvPr>
        <xdr:cNvSpPr/>
      </xdr:nvSpPr>
      <xdr:spPr>
        <a:xfrm>
          <a:off x="12087225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5</xdr:row>
      <xdr:rowOff>0</xdr:rowOff>
    </xdr:from>
    <xdr:to>
      <xdr:col>14</xdr:col>
      <xdr:colOff>190500</xdr:colOff>
      <xdr:row>5</xdr:row>
      <xdr:rowOff>171450</xdr:rowOff>
    </xdr:to>
    <xdr:sp macro="" textlink="">
      <xdr:nvSpPr>
        <xdr:cNvPr id="15" name="Rectangle 1">
          <a:extLst>
            <a:ext uri="{FF2B5EF4-FFF2-40B4-BE49-F238E27FC236}">
              <a16:creationId xmlns:a16="http://schemas.microsoft.com/office/drawing/2014/main" id="{16731775-2BD4-436B-BCAC-A6AFA819CCF3}"/>
            </a:ext>
            <a:ext uri="{147F2762-F138-4A5C-976F-8EAC2B608ADB}">
              <a16:predDERef xmlns:a16="http://schemas.microsoft.com/office/drawing/2014/main" pred="{AFFD5693-A61D-4A5D-8F2A-11A041D922BF}"/>
            </a:ext>
          </a:extLst>
        </xdr:cNvPr>
        <xdr:cNvSpPr/>
      </xdr:nvSpPr>
      <xdr:spPr>
        <a:xfrm>
          <a:off x="12087225" y="771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6</xdr:row>
      <xdr:rowOff>0</xdr:rowOff>
    </xdr:from>
    <xdr:to>
      <xdr:col>14</xdr:col>
      <xdr:colOff>190500</xdr:colOff>
      <xdr:row>6</xdr:row>
      <xdr:rowOff>171450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15595B7-F4EC-43DA-A4DA-5555EE85F954}"/>
            </a:ext>
            <a:ext uri="{147F2762-F138-4A5C-976F-8EAC2B608ADB}">
              <a16:predDERef xmlns:a16="http://schemas.microsoft.com/office/drawing/2014/main" pred="{16731775-2BD4-436B-BCAC-A6AFA819CCF3}"/>
            </a:ext>
          </a:extLst>
        </xdr:cNvPr>
        <xdr:cNvSpPr/>
      </xdr:nvSpPr>
      <xdr:spPr>
        <a:xfrm>
          <a:off x="12087225" y="962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7</xdr:row>
      <xdr:rowOff>0</xdr:rowOff>
    </xdr:from>
    <xdr:to>
      <xdr:col>14</xdr:col>
      <xdr:colOff>190500</xdr:colOff>
      <xdr:row>7</xdr:row>
      <xdr:rowOff>171450</xdr:rowOff>
    </xdr:to>
    <xdr:sp macro="" textlink="">
      <xdr:nvSpPr>
        <xdr:cNvPr id="17" name="Rectangle 1">
          <a:extLst>
            <a:ext uri="{FF2B5EF4-FFF2-40B4-BE49-F238E27FC236}">
              <a16:creationId xmlns:a16="http://schemas.microsoft.com/office/drawing/2014/main" id="{247561A0-3D7A-4BCA-B4D4-BE199CE68F27}"/>
            </a:ext>
            <a:ext uri="{147F2762-F138-4A5C-976F-8EAC2B608ADB}">
              <a16:predDERef xmlns:a16="http://schemas.microsoft.com/office/drawing/2014/main" pred="{B15595B7-F4EC-43DA-A4DA-5555EE85F954}"/>
            </a:ext>
          </a:extLst>
        </xdr:cNvPr>
        <xdr:cNvSpPr/>
      </xdr:nvSpPr>
      <xdr:spPr>
        <a:xfrm>
          <a:off x="12087225" y="1152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8</xdr:row>
      <xdr:rowOff>0</xdr:rowOff>
    </xdr:from>
    <xdr:to>
      <xdr:col>14</xdr:col>
      <xdr:colOff>190500</xdr:colOff>
      <xdr:row>8</xdr:row>
      <xdr:rowOff>171450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F5E22816-6A4D-40C2-BB6A-F0DA683A48AD}"/>
            </a:ext>
            <a:ext uri="{147F2762-F138-4A5C-976F-8EAC2B608ADB}">
              <a16:predDERef xmlns:a16="http://schemas.microsoft.com/office/drawing/2014/main" pred="{247561A0-3D7A-4BCA-B4D4-BE199CE68F27}"/>
            </a:ext>
          </a:extLst>
        </xdr:cNvPr>
        <xdr:cNvSpPr/>
      </xdr:nvSpPr>
      <xdr:spPr>
        <a:xfrm>
          <a:off x="12087225" y="1343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9</xdr:row>
      <xdr:rowOff>0</xdr:rowOff>
    </xdr:from>
    <xdr:to>
      <xdr:col>14</xdr:col>
      <xdr:colOff>190500</xdr:colOff>
      <xdr:row>9</xdr:row>
      <xdr:rowOff>171450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4CDA6A85-C1A5-47B8-BFE2-72576B4AF804}"/>
            </a:ext>
            <a:ext uri="{147F2762-F138-4A5C-976F-8EAC2B608ADB}">
              <a16:predDERef xmlns:a16="http://schemas.microsoft.com/office/drawing/2014/main" pred="{F5E22816-6A4D-40C2-BB6A-F0DA683A48AD}"/>
            </a:ext>
          </a:extLst>
        </xdr:cNvPr>
        <xdr:cNvSpPr/>
      </xdr:nvSpPr>
      <xdr:spPr>
        <a:xfrm>
          <a:off x="12087225" y="1533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10</xdr:row>
      <xdr:rowOff>0</xdr:rowOff>
    </xdr:from>
    <xdr:to>
      <xdr:col>14</xdr:col>
      <xdr:colOff>190500</xdr:colOff>
      <xdr:row>10</xdr:row>
      <xdr:rowOff>171450</xdr:rowOff>
    </xdr:to>
    <xdr:sp macro="" textlink="">
      <xdr:nvSpPr>
        <xdr:cNvPr id="20" name="Rectangle 1">
          <a:extLst>
            <a:ext uri="{FF2B5EF4-FFF2-40B4-BE49-F238E27FC236}">
              <a16:creationId xmlns:a16="http://schemas.microsoft.com/office/drawing/2014/main" id="{7FEBDFF1-2375-4CFA-94CC-6B1B171FA346}"/>
            </a:ext>
            <a:ext uri="{147F2762-F138-4A5C-976F-8EAC2B608ADB}">
              <a16:predDERef xmlns:a16="http://schemas.microsoft.com/office/drawing/2014/main" pred="{4CDA6A85-C1A5-47B8-BFE2-72576B4AF804}"/>
            </a:ext>
          </a:extLst>
        </xdr:cNvPr>
        <xdr:cNvSpPr/>
      </xdr:nvSpPr>
      <xdr:spPr>
        <a:xfrm>
          <a:off x="12087225" y="1724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11</xdr:row>
      <xdr:rowOff>0</xdr:rowOff>
    </xdr:from>
    <xdr:to>
      <xdr:col>14</xdr:col>
      <xdr:colOff>190500</xdr:colOff>
      <xdr:row>11</xdr:row>
      <xdr:rowOff>171450</xdr:rowOff>
    </xdr:to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A6FCD22D-F231-4CDC-977A-C34D2837BED8}"/>
            </a:ext>
            <a:ext uri="{147F2762-F138-4A5C-976F-8EAC2B608ADB}">
              <a16:predDERef xmlns:a16="http://schemas.microsoft.com/office/drawing/2014/main" pred="{7FEBDFF1-2375-4CFA-94CC-6B1B171FA346}"/>
            </a:ext>
          </a:extLst>
        </xdr:cNvPr>
        <xdr:cNvSpPr/>
      </xdr:nvSpPr>
      <xdr:spPr>
        <a:xfrm>
          <a:off x="12087225" y="1914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12</xdr:row>
      <xdr:rowOff>0</xdr:rowOff>
    </xdr:from>
    <xdr:to>
      <xdr:col>14</xdr:col>
      <xdr:colOff>190500</xdr:colOff>
      <xdr:row>12</xdr:row>
      <xdr:rowOff>171450</xdr:rowOff>
    </xdr:to>
    <xdr:sp macro="" textlink="">
      <xdr:nvSpPr>
        <xdr:cNvPr id="22" name="Rectangle 1">
          <a:extLst>
            <a:ext uri="{FF2B5EF4-FFF2-40B4-BE49-F238E27FC236}">
              <a16:creationId xmlns:a16="http://schemas.microsoft.com/office/drawing/2014/main" id="{9874EEE4-DA90-483F-BA3E-793B68B6500B}"/>
            </a:ext>
            <a:ext uri="{147F2762-F138-4A5C-976F-8EAC2B608ADB}">
              <a16:predDERef xmlns:a16="http://schemas.microsoft.com/office/drawing/2014/main" pred="{A6FCD22D-F231-4CDC-977A-C34D2837BED8}"/>
            </a:ext>
          </a:extLst>
        </xdr:cNvPr>
        <xdr:cNvSpPr/>
      </xdr:nvSpPr>
      <xdr:spPr>
        <a:xfrm>
          <a:off x="12087225" y="2105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2</xdr:row>
      <xdr:rowOff>0</xdr:rowOff>
    </xdr:from>
    <xdr:to>
      <xdr:col>4</xdr:col>
      <xdr:colOff>200025</xdr:colOff>
      <xdr:row>2</xdr:row>
      <xdr:rowOff>171450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B1FA4697-782C-498B-9B40-3902B1E12922}"/>
            </a:ext>
            <a:ext uri="{147F2762-F138-4A5C-976F-8EAC2B608ADB}">
              <a16:predDERef xmlns:a16="http://schemas.microsoft.com/office/drawing/2014/main" pred="{9874EEE4-DA90-483F-BA3E-793B68B6500B}"/>
            </a:ext>
          </a:extLst>
        </xdr:cNvPr>
        <xdr:cNvSpPr/>
      </xdr:nvSpPr>
      <xdr:spPr>
        <a:xfrm>
          <a:off x="819150" y="200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171450</xdr:colOff>
      <xdr:row>3</xdr:row>
      <xdr:rowOff>171450</xdr:rowOff>
    </xdr:to>
    <xdr:sp macro="" textlink="">
      <xdr:nvSpPr>
        <xdr:cNvPr id="24" name="Rectangle 7">
          <a:extLst>
            <a:ext uri="{FF2B5EF4-FFF2-40B4-BE49-F238E27FC236}">
              <a16:creationId xmlns:a16="http://schemas.microsoft.com/office/drawing/2014/main" id="{17E5AF32-C36A-4075-BF73-423A3330F3A7}"/>
            </a:ext>
            <a:ext uri="{147F2762-F138-4A5C-976F-8EAC2B608ADB}">
              <a16:predDERef xmlns:a16="http://schemas.microsoft.com/office/drawing/2014/main" pred="{B1FA4697-782C-498B-9B40-3902B1E12922}"/>
            </a:ext>
          </a:extLst>
        </xdr:cNvPr>
        <xdr:cNvSpPr/>
      </xdr:nvSpPr>
      <xdr:spPr>
        <a:xfrm>
          <a:off x="790575" y="390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171450</xdr:colOff>
      <xdr:row>4</xdr:row>
      <xdr:rowOff>171450</xdr:rowOff>
    </xdr:to>
    <xdr:sp macro="" textlink="">
      <xdr:nvSpPr>
        <xdr:cNvPr id="25" name="Rectangle 7">
          <a:extLst>
            <a:ext uri="{FF2B5EF4-FFF2-40B4-BE49-F238E27FC236}">
              <a16:creationId xmlns:a16="http://schemas.microsoft.com/office/drawing/2014/main" id="{1D2678D3-4DE8-4AB2-B635-332E7661B249}"/>
            </a:ext>
            <a:ext uri="{147F2762-F138-4A5C-976F-8EAC2B608ADB}">
              <a16:predDERef xmlns:a16="http://schemas.microsoft.com/office/drawing/2014/main" pred="{17E5AF32-C36A-4075-BF73-423A3330F3A7}"/>
            </a:ext>
          </a:extLst>
        </xdr:cNvPr>
        <xdr:cNvSpPr/>
      </xdr:nvSpPr>
      <xdr:spPr>
        <a:xfrm>
          <a:off x="790575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171450</xdr:colOff>
      <xdr:row>5</xdr:row>
      <xdr:rowOff>171450</xdr:rowOff>
    </xdr:to>
    <xdr:sp macro="" textlink="">
      <xdr:nvSpPr>
        <xdr:cNvPr id="26" name="Rectangle 7">
          <a:extLst>
            <a:ext uri="{FF2B5EF4-FFF2-40B4-BE49-F238E27FC236}">
              <a16:creationId xmlns:a16="http://schemas.microsoft.com/office/drawing/2014/main" id="{2EF2DC46-D6EC-4B31-9E6C-86D14B0CD0F3}"/>
            </a:ext>
            <a:ext uri="{147F2762-F138-4A5C-976F-8EAC2B608ADB}">
              <a16:predDERef xmlns:a16="http://schemas.microsoft.com/office/drawing/2014/main" pred="{1D2678D3-4DE8-4AB2-B635-332E7661B249}"/>
            </a:ext>
          </a:extLst>
        </xdr:cNvPr>
        <xdr:cNvSpPr/>
      </xdr:nvSpPr>
      <xdr:spPr>
        <a:xfrm>
          <a:off x="790575" y="771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171450</xdr:colOff>
      <xdr:row>6</xdr:row>
      <xdr:rowOff>171450</xdr:rowOff>
    </xdr:to>
    <xdr:sp macro="" textlink="">
      <xdr:nvSpPr>
        <xdr:cNvPr id="27" name="Rectangle 7">
          <a:extLst>
            <a:ext uri="{FF2B5EF4-FFF2-40B4-BE49-F238E27FC236}">
              <a16:creationId xmlns:a16="http://schemas.microsoft.com/office/drawing/2014/main" id="{1E4C92DC-00FE-4002-8B9E-E45E8D59A3AA}"/>
            </a:ext>
            <a:ext uri="{147F2762-F138-4A5C-976F-8EAC2B608ADB}">
              <a16:predDERef xmlns:a16="http://schemas.microsoft.com/office/drawing/2014/main" pred="{2EF2DC46-D6EC-4B31-9E6C-86D14B0CD0F3}"/>
            </a:ext>
          </a:extLst>
        </xdr:cNvPr>
        <xdr:cNvSpPr/>
      </xdr:nvSpPr>
      <xdr:spPr>
        <a:xfrm>
          <a:off x="790575" y="962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171450</xdr:colOff>
      <xdr:row>7</xdr:row>
      <xdr:rowOff>171450</xdr:rowOff>
    </xdr:to>
    <xdr:sp macro="" textlink="">
      <xdr:nvSpPr>
        <xdr:cNvPr id="28" name="Rectangle 7">
          <a:extLst>
            <a:ext uri="{FF2B5EF4-FFF2-40B4-BE49-F238E27FC236}">
              <a16:creationId xmlns:a16="http://schemas.microsoft.com/office/drawing/2014/main" id="{C2FA7F35-1EBA-452E-912D-2D9A855ADE9D}"/>
            </a:ext>
            <a:ext uri="{147F2762-F138-4A5C-976F-8EAC2B608ADB}">
              <a16:predDERef xmlns:a16="http://schemas.microsoft.com/office/drawing/2014/main" pred="{1E4C92DC-00FE-4002-8B9E-E45E8D59A3AA}"/>
            </a:ext>
          </a:extLst>
        </xdr:cNvPr>
        <xdr:cNvSpPr/>
      </xdr:nvSpPr>
      <xdr:spPr>
        <a:xfrm>
          <a:off x="790575" y="1152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171450</xdr:colOff>
      <xdr:row>8</xdr:row>
      <xdr:rowOff>171450</xdr:rowOff>
    </xdr:to>
    <xdr:sp macro="" textlink="">
      <xdr:nvSpPr>
        <xdr:cNvPr id="29" name="Rectangle 7">
          <a:extLst>
            <a:ext uri="{FF2B5EF4-FFF2-40B4-BE49-F238E27FC236}">
              <a16:creationId xmlns:a16="http://schemas.microsoft.com/office/drawing/2014/main" id="{1D83FF0D-153D-456D-BEA5-175DC2921C08}"/>
            </a:ext>
            <a:ext uri="{147F2762-F138-4A5C-976F-8EAC2B608ADB}">
              <a16:predDERef xmlns:a16="http://schemas.microsoft.com/office/drawing/2014/main" pred="{C2FA7F35-1EBA-452E-912D-2D9A855ADE9D}"/>
            </a:ext>
          </a:extLst>
        </xdr:cNvPr>
        <xdr:cNvSpPr/>
      </xdr:nvSpPr>
      <xdr:spPr>
        <a:xfrm>
          <a:off x="790575" y="1343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4</xdr:col>
      <xdr:colOff>171450</xdr:colOff>
      <xdr:row>9</xdr:row>
      <xdr:rowOff>171450</xdr:rowOff>
    </xdr:to>
    <xdr:sp macro="" textlink="">
      <xdr:nvSpPr>
        <xdr:cNvPr id="30" name="Rectangle 7">
          <a:extLst>
            <a:ext uri="{FF2B5EF4-FFF2-40B4-BE49-F238E27FC236}">
              <a16:creationId xmlns:a16="http://schemas.microsoft.com/office/drawing/2014/main" id="{9ADFEA3A-BBDB-4772-9AD5-75AC7DFCE90D}"/>
            </a:ext>
            <a:ext uri="{147F2762-F138-4A5C-976F-8EAC2B608ADB}">
              <a16:predDERef xmlns:a16="http://schemas.microsoft.com/office/drawing/2014/main" pred="{1D83FF0D-153D-456D-BEA5-175DC2921C08}"/>
            </a:ext>
          </a:extLst>
        </xdr:cNvPr>
        <xdr:cNvSpPr/>
      </xdr:nvSpPr>
      <xdr:spPr>
        <a:xfrm>
          <a:off x="790575" y="1533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171450</xdr:colOff>
      <xdr:row>10</xdr:row>
      <xdr:rowOff>171450</xdr:rowOff>
    </xdr:to>
    <xdr:sp macro="" textlink="">
      <xdr:nvSpPr>
        <xdr:cNvPr id="31" name="Rectangle 7">
          <a:extLst>
            <a:ext uri="{FF2B5EF4-FFF2-40B4-BE49-F238E27FC236}">
              <a16:creationId xmlns:a16="http://schemas.microsoft.com/office/drawing/2014/main" id="{6D833803-92B0-499B-97D9-CC9D0BC9A243}"/>
            </a:ext>
            <a:ext uri="{147F2762-F138-4A5C-976F-8EAC2B608ADB}">
              <a16:predDERef xmlns:a16="http://schemas.microsoft.com/office/drawing/2014/main" pred="{9ADFEA3A-BBDB-4772-9AD5-75AC7DFCE90D}"/>
            </a:ext>
          </a:extLst>
        </xdr:cNvPr>
        <xdr:cNvSpPr/>
      </xdr:nvSpPr>
      <xdr:spPr>
        <a:xfrm>
          <a:off x="790575" y="1724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171450</xdr:colOff>
      <xdr:row>11</xdr:row>
      <xdr:rowOff>171450</xdr:rowOff>
    </xdr:to>
    <xdr:sp macro="" textlink="">
      <xdr:nvSpPr>
        <xdr:cNvPr id="32" name="Rectangle 7">
          <a:extLst>
            <a:ext uri="{FF2B5EF4-FFF2-40B4-BE49-F238E27FC236}">
              <a16:creationId xmlns:a16="http://schemas.microsoft.com/office/drawing/2014/main" id="{53208C0D-65E4-4A3B-B741-AAE825D321B3}"/>
            </a:ext>
            <a:ext uri="{147F2762-F138-4A5C-976F-8EAC2B608ADB}">
              <a16:predDERef xmlns:a16="http://schemas.microsoft.com/office/drawing/2014/main" pred="{6D833803-92B0-499B-97D9-CC9D0BC9A243}"/>
            </a:ext>
          </a:extLst>
        </xdr:cNvPr>
        <xdr:cNvSpPr/>
      </xdr:nvSpPr>
      <xdr:spPr>
        <a:xfrm>
          <a:off x="790575" y="1914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13</xdr:row>
      <xdr:rowOff>0</xdr:rowOff>
    </xdr:from>
    <xdr:to>
      <xdr:col>11</xdr:col>
      <xdr:colOff>190500</xdr:colOff>
      <xdr:row>13</xdr:row>
      <xdr:rowOff>171450</xdr:rowOff>
    </xdr:to>
    <xdr:sp macro="" textlink="">
      <xdr:nvSpPr>
        <xdr:cNvPr id="33" name="Rectangle 4">
          <a:extLst>
            <a:ext uri="{FF2B5EF4-FFF2-40B4-BE49-F238E27FC236}">
              <a16:creationId xmlns:a16="http://schemas.microsoft.com/office/drawing/2014/main" id="{12DF00FD-6FD7-435B-B7AC-95C4A46EB530}"/>
            </a:ext>
            <a:ext uri="{147F2762-F138-4A5C-976F-8EAC2B608ADB}">
              <a16:predDERef xmlns:a16="http://schemas.microsoft.com/office/drawing/2014/main" pred="{53208C0D-65E4-4A3B-B741-AAE825D321B3}"/>
            </a:ext>
          </a:extLst>
        </xdr:cNvPr>
        <xdr:cNvSpPr/>
      </xdr:nvSpPr>
      <xdr:spPr>
        <a:xfrm>
          <a:off x="6067425" y="2295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12</xdr:row>
      <xdr:rowOff>0</xdr:rowOff>
    </xdr:from>
    <xdr:to>
      <xdr:col>11</xdr:col>
      <xdr:colOff>190500</xdr:colOff>
      <xdr:row>12</xdr:row>
      <xdr:rowOff>171450</xdr:rowOff>
    </xdr:to>
    <xdr:sp macro="" textlink="">
      <xdr:nvSpPr>
        <xdr:cNvPr id="34" name="Rectangle 5">
          <a:extLst>
            <a:ext uri="{FF2B5EF4-FFF2-40B4-BE49-F238E27FC236}">
              <a16:creationId xmlns:a16="http://schemas.microsoft.com/office/drawing/2014/main" id="{403D224A-165B-46BB-9FE7-FA357D0F33AE}"/>
            </a:ext>
            <a:ext uri="{147F2762-F138-4A5C-976F-8EAC2B608ADB}">
              <a16:predDERef xmlns:a16="http://schemas.microsoft.com/office/drawing/2014/main" pred="{12DF00FD-6FD7-435B-B7AC-95C4A46EB530}"/>
            </a:ext>
          </a:extLst>
        </xdr:cNvPr>
        <xdr:cNvSpPr/>
      </xdr:nvSpPr>
      <xdr:spPr>
        <a:xfrm>
          <a:off x="6067425" y="2105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14</xdr:row>
      <xdr:rowOff>0</xdr:rowOff>
    </xdr:from>
    <xdr:to>
      <xdr:col>11</xdr:col>
      <xdr:colOff>190500</xdr:colOff>
      <xdr:row>14</xdr:row>
      <xdr:rowOff>171450</xdr:rowOff>
    </xdr:to>
    <xdr:sp macro="" textlink="">
      <xdr:nvSpPr>
        <xdr:cNvPr id="35" name="Rectangle 6">
          <a:extLst>
            <a:ext uri="{FF2B5EF4-FFF2-40B4-BE49-F238E27FC236}">
              <a16:creationId xmlns:a16="http://schemas.microsoft.com/office/drawing/2014/main" id="{5F9AA54E-BE65-4212-B9A2-EF98D83EF5BD}"/>
            </a:ext>
            <a:ext uri="{147F2762-F138-4A5C-976F-8EAC2B608ADB}">
              <a16:predDERef xmlns:a16="http://schemas.microsoft.com/office/drawing/2014/main" pred="{403D224A-165B-46BB-9FE7-FA357D0F33AE}"/>
            </a:ext>
          </a:extLst>
        </xdr:cNvPr>
        <xdr:cNvSpPr/>
      </xdr:nvSpPr>
      <xdr:spPr>
        <a:xfrm>
          <a:off x="6067425" y="2486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14</xdr:row>
      <xdr:rowOff>0</xdr:rowOff>
    </xdr:from>
    <xdr:to>
      <xdr:col>14</xdr:col>
      <xdr:colOff>190500</xdr:colOff>
      <xdr:row>14</xdr:row>
      <xdr:rowOff>171450</xdr:rowOff>
    </xdr:to>
    <xdr:sp macro="" textlink="">
      <xdr:nvSpPr>
        <xdr:cNvPr id="36" name="Rectangle 7">
          <a:extLst>
            <a:ext uri="{FF2B5EF4-FFF2-40B4-BE49-F238E27FC236}">
              <a16:creationId xmlns:a16="http://schemas.microsoft.com/office/drawing/2014/main" id="{635E26EE-5F4E-4577-93B3-6AEB67F78BDC}"/>
            </a:ext>
            <a:ext uri="{147F2762-F138-4A5C-976F-8EAC2B608ADB}">
              <a16:predDERef xmlns:a16="http://schemas.microsoft.com/office/drawing/2014/main" pred="{5F9AA54E-BE65-4212-B9A2-EF98D83EF5BD}"/>
            </a:ext>
          </a:extLst>
        </xdr:cNvPr>
        <xdr:cNvSpPr/>
      </xdr:nvSpPr>
      <xdr:spPr>
        <a:xfrm>
          <a:off x="12087225" y="2486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13</xdr:row>
      <xdr:rowOff>0</xdr:rowOff>
    </xdr:from>
    <xdr:to>
      <xdr:col>14</xdr:col>
      <xdr:colOff>190500</xdr:colOff>
      <xdr:row>13</xdr:row>
      <xdr:rowOff>171450</xdr:rowOff>
    </xdr:to>
    <xdr:sp macro="" textlink="">
      <xdr:nvSpPr>
        <xdr:cNvPr id="37" name="Rectangle 8">
          <a:extLst>
            <a:ext uri="{FF2B5EF4-FFF2-40B4-BE49-F238E27FC236}">
              <a16:creationId xmlns:a16="http://schemas.microsoft.com/office/drawing/2014/main" id="{15D92B9B-01B3-40D7-A4DC-B88ADDB3E0A8}"/>
            </a:ext>
            <a:ext uri="{147F2762-F138-4A5C-976F-8EAC2B608ADB}">
              <a16:predDERef xmlns:a16="http://schemas.microsoft.com/office/drawing/2014/main" pred="{635E26EE-5F4E-4577-93B3-6AEB67F78BDC}"/>
            </a:ext>
          </a:extLst>
        </xdr:cNvPr>
        <xdr:cNvSpPr/>
      </xdr:nvSpPr>
      <xdr:spPr>
        <a:xfrm>
          <a:off x="12087225" y="2295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3</xdr:row>
      <xdr:rowOff>0</xdr:rowOff>
    </xdr:from>
    <xdr:to>
      <xdr:col>4</xdr:col>
      <xdr:colOff>200025</xdr:colOff>
      <xdr:row>3</xdr:row>
      <xdr:rowOff>171450</xdr:rowOff>
    </xdr:to>
    <xdr:sp macro="" textlink="">
      <xdr:nvSpPr>
        <xdr:cNvPr id="38" name="Rectangle 7">
          <a:extLst>
            <a:ext uri="{FF2B5EF4-FFF2-40B4-BE49-F238E27FC236}">
              <a16:creationId xmlns:a16="http://schemas.microsoft.com/office/drawing/2014/main" id="{72531342-F6B5-458F-A90E-DACB78A042C3}"/>
            </a:ext>
            <a:ext uri="{147F2762-F138-4A5C-976F-8EAC2B608ADB}">
              <a16:predDERef xmlns:a16="http://schemas.microsoft.com/office/drawing/2014/main" pred="{15D92B9B-01B3-40D7-A4DC-B88ADDB3E0A8}"/>
            </a:ext>
          </a:extLst>
        </xdr:cNvPr>
        <xdr:cNvSpPr/>
      </xdr:nvSpPr>
      <xdr:spPr>
        <a:xfrm>
          <a:off x="819150" y="390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171450</xdr:colOff>
      <xdr:row>4</xdr:row>
      <xdr:rowOff>171450</xdr:rowOff>
    </xdr:to>
    <xdr:sp macro="" textlink="">
      <xdr:nvSpPr>
        <xdr:cNvPr id="39" name="Rectangle 7">
          <a:extLst>
            <a:ext uri="{FF2B5EF4-FFF2-40B4-BE49-F238E27FC236}">
              <a16:creationId xmlns:a16="http://schemas.microsoft.com/office/drawing/2014/main" id="{8D229E95-D646-43B9-885E-B3D154557CD0}"/>
            </a:ext>
            <a:ext uri="{147F2762-F138-4A5C-976F-8EAC2B608ADB}">
              <a16:predDERef xmlns:a16="http://schemas.microsoft.com/office/drawing/2014/main" pred="{72531342-F6B5-458F-A90E-DACB78A042C3}"/>
            </a:ext>
          </a:extLst>
        </xdr:cNvPr>
        <xdr:cNvSpPr/>
      </xdr:nvSpPr>
      <xdr:spPr>
        <a:xfrm>
          <a:off x="790575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4</xdr:row>
      <xdr:rowOff>0</xdr:rowOff>
    </xdr:from>
    <xdr:to>
      <xdr:col>4</xdr:col>
      <xdr:colOff>200025</xdr:colOff>
      <xdr:row>4</xdr:row>
      <xdr:rowOff>171450</xdr:rowOff>
    </xdr:to>
    <xdr:sp macro="" textlink="">
      <xdr:nvSpPr>
        <xdr:cNvPr id="40" name="Rectangle 7">
          <a:extLst>
            <a:ext uri="{FF2B5EF4-FFF2-40B4-BE49-F238E27FC236}">
              <a16:creationId xmlns:a16="http://schemas.microsoft.com/office/drawing/2014/main" id="{AE4F5445-B4A0-416B-813C-32F2C3E06302}"/>
            </a:ext>
            <a:ext uri="{147F2762-F138-4A5C-976F-8EAC2B608ADB}">
              <a16:predDERef xmlns:a16="http://schemas.microsoft.com/office/drawing/2014/main" pred="{8D229E95-D646-43B9-885E-B3D154557CD0}"/>
            </a:ext>
          </a:extLst>
        </xdr:cNvPr>
        <xdr:cNvSpPr/>
      </xdr:nvSpPr>
      <xdr:spPr>
        <a:xfrm>
          <a:off x="819150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5</xdr:row>
      <xdr:rowOff>0</xdr:rowOff>
    </xdr:from>
    <xdr:to>
      <xdr:col>4</xdr:col>
      <xdr:colOff>200025</xdr:colOff>
      <xdr:row>5</xdr:row>
      <xdr:rowOff>171450</xdr:rowOff>
    </xdr:to>
    <xdr:sp macro="" textlink="">
      <xdr:nvSpPr>
        <xdr:cNvPr id="41" name="Rectangle 7">
          <a:extLst>
            <a:ext uri="{FF2B5EF4-FFF2-40B4-BE49-F238E27FC236}">
              <a16:creationId xmlns:a16="http://schemas.microsoft.com/office/drawing/2014/main" id="{68928EE7-10D0-4262-B5DD-40F40ED1026F}"/>
            </a:ext>
            <a:ext uri="{147F2762-F138-4A5C-976F-8EAC2B608ADB}">
              <a16:predDERef xmlns:a16="http://schemas.microsoft.com/office/drawing/2014/main" pred="{AE4F5445-B4A0-416B-813C-32F2C3E06302}"/>
            </a:ext>
          </a:extLst>
        </xdr:cNvPr>
        <xdr:cNvSpPr/>
      </xdr:nvSpPr>
      <xdr:spPr>
        <a:xfrm>
          <a:off x="819150" y="771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6</xdr:row>
      <xdr:rowOff>0</xdr:rowOff>
    </xdr:from>
    <xdr:to>
      <xdr:col>4</xdr:col>
      <xdr:colOff>200025</xdr:colOff>
      <xdr:row>6</xdr:row>
      <xdr:rowOff>171450</xdr:rowOff>
    </xdr:to>
    <xdr:sp macro="" textlink="">
      <xdr:nvSpPr>
        <xdr:cNvPr id="42" name="Rectangle 7">
          <a:extLst>
            <a:ext uri="{FF2B5EF4-FFF2-40B4-BE49-F238E27FC236}">
              <a16:creationId xmlns:a16="http://schemas.microsoft.com/office/drawing/2014/main" id="{824B92F3-9A5A-42EC-B4CB-C67D445926CA}"/>
            </a:ext>
            <a:ext uri="{147F2762-F138-4A5C-976F-8EAC2B608ADB}">
              <a16:predDERef xmlns:a16="http://schemas.microsoft.com/office/drawing/2014/main" pred="{68928EE7-10D0-4262-B5DD-40F40ED1026F}"/>
            </a:ext>
          </a:extLst>
        </xdr:cNvPr>
        <xdr:cNvSpPr/>
      </xdr:nvSpPr>
      <xdr:spPr>
        <a:xfrm>
          <a:off x="819150" y="962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7</xdr:row>
      <xdr:rowOff>0</xdr:rowOff>
    </xdr:from>
    <xdr:to>
      <xdr:col>4</xdr:col>
      <xdr:colOff>200025</xdr:colOff>
      <xdr:row>7</xdr:row>
      <xdr:rowOff>171450</xdr:rowOff>
    </xdr:to>
    <xdr:sp macro="" textlink="">
      <xdr:nvSpPr>
        <xdr:cNvPr id="43" name="Rectangle 7">
          <a:extLst>
            <a:ext uri="{FF2B5EF4-FFF2-40B4-BE49-F238E27FC236}">
              <a16:creationId xmlns:a16="http://schemas.microsoft.com/office/drawing/2014/main" id="{79785832-00BB-4F61-BE24-005BBD63F62B}"/>
            </a:ext>
            <a:ext uri="{147F2762-F138-4A5C-976F-8EAC2B608ADB}">
              <a16:predDERef xmlns:a16="http://schemas.microsoft.com/office/drawing/2014/main" pred="{824B92F3-9A5A-42EC-B4CB-C67D445926CA}"/>
            </a:ext>
          </a:extLst>
        </xdr:cNvPr>
        <xdr:cNvSpPr/>
      </xdr:nvSpPr>
      <xdr:spPr>
        <a:xfrm>
          <a:off x="819150" y="1152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8</xdr:row>
      <xdr:rowOff>0</xdr:rowOff>
    </xdr:from>
    <xdr:to>
      <xdr:col>4</xdr:col>
      <xdr:colOff>200025</xdr:colOff>
      <xdr:row>8</xdr:row>
      <xdr:rowOff>171450</xdr:rowOff>
    </xdr:to>
    <xdr:sp macro="" textlink="">
      <xdr:nvSpPr>
        <xdr:cNvPr id="44" name="Rectangle 7">
          <a:extLst>
            <a:ext uri="{FF2B5EF4-FFF2-40B4-BE49-F238E27FC236}">
              <a16:creationId xmlns:a16="http://schemas.microsoft.com/office/drawing/2014/main" id="{799A5CEC-D8E6-4179-BB57-D6C3FE89B970}"/>
            </a:ext>
            <a:ext uri="{147F2762-F138-4A5C-976F-8EAC2B608ADB}">
              <a16:predDERef xmlns:a16="http://schemas.microsoft.com/office/drawing/2014/main" pred="{79785832-00BB-4F61-BE24-005BBD63F62B}"/>
            </a:ext>
          </a:extLst>
        </xdr:cNvPr>
        <xdr:cNvSpPr/>
      </xdr:nvSpPr>
      <xdr:spPr>
        <a:xfrm>
          <a:off x="819150" y="1343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9</xdr:row>
      <xdr:rowOff>0</xdr:rowOff>
    </xdr:from>
    <xdr:to>
      <xdr:col>4</xdr:col>
      <xdr:colOff>200025</xdr:colOff>
      <xdr:row>9</xdr:row>
      <xdr:rowOff>171450</xdr:rowOff>
    </xdr:to>
    <xdr:sp macro="" textlink="">
      <xdr:nvSpPr>
        <xdr:cNvPr id="45" name="Rectangle 7">
          <a:extLst>
            <a:ext uri="{FF2B5EF4-FFF2-40B4-BE49-F238E27FC236}">
              <a16:creationId xmlns:a16="http://schemas.microsoft.com/office/drawing/2014/main" id="{593F1A64-D279-4B32-8E6C-619A52E6B857}"/>
            </a:ext>
            <a:ext uri="{147F2762-F138-4A5C-976F-8EAC2B608ADB}">
              <a16:predDERef xmlns:a16="http://schemas.microsoft.com/office/drawing/2014/main" pred="{799A5CEC-D8E6-4179-BB57-D6C3FE89B970}"/>
            </a:ext>
          </a:extLst>
        </xdr:cNvPr>
        <xdr:cNvSpPr/>
      </xdr:nvSpPr>
      <xdr:spPr>
        <a:xfrm>
          <a:off x="819150" y="1533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10</xdr:row>
      <xdr:rowOff>0</xdr:rowOff>
    </xdr:from>
    <xdr:to>
      <xdr:col>4</xdr:col>
      <xdr:colOff>200025</xdr:colOff>
      <xdr:row>10</xdr:row>
      <xdr:rowOff>171450</xdr:rowOff>
    </xdr:to>
    <xdr:sp macro="" textlink="">
      <xdr:nvSpPr>
        <xdr:cNvPr id="46" name="Rectangle 7">
          <a:extLst>
            <a:ext uri="{FF2B5EF4-FFF2-40B4-BE49-F238E27FC236}">
              <a16:creationId xmlns:a16="http://schemas.microsoft.com/office/drawing/2014/main" id="{4B1D694C-DADD-40C9-86CA-2E6A91DB6F55}"/>
            </a:ext>
            <a:ext uri="{147F2762-F138-4A5C-976F-8EAC2B608ADB}">
              <a16:predDERef xmlns:a16="http://schemas.microsoft.com/office/drawing/2014/main" pred="{593F1A64-D279-4B32-8E6C-619A52E6B857}"/>
            </a:ext>
          </a:extLst>
        </xdr:cNvPr>
        <xdr:cNvSpPr/>
      </xdr:nvSpPr>
      <xdr:spPr>
        <a:xfrm>
          <a:off x="819150" y="1724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12</xdr:row>
      <xdr:rowOff>0</xdr:rowOff>
    </xdr:from>
    <xdr:to>
      <xdr:col>4</xdr:col>
      <xdr:colOff>200025</xdr:colOff>
      <xdr:row>12</xdr:row>
      <xdr:rowOff>171450</xdr:rowOff>
    </xdr:to>
    <xdr:sp macro="" textlink="">
      <xdr:nvSpPr>
        <xdr:cNvPr id="47" name="Rectangle 7">
          <a:extLst>
            <a:ext uri="{FF2B5EF4-FFF2-40B4-BE49-F238E27FC236}">
              <a16:creationId xmlns:a16="http://schemas.microsoft.com/office/drawing/2014/main" id="{DBC59B31-A651-4E00-9C28-F2667E208144}"/>
            </a:ext>
            <a:ext uri="{147F2762-F138-4A5C-976F-8EAC2B608ADB}">
              <a16:predDERef xmlns:a16="http://schemas.microsoft.com/office/drawing/2014/main" pred="{4B1D694C-DADD-40C9-86CA-2E6A91DB6F55}"/>
            </a:ext>
          </a:extLst>
        </xdr:cNvPr>
        <xdr:cNvSpPr/>
      </xdr:nvSpPr>
      <xdr:spPr>
        <a:xfrm>
          <a:off x="819150" y="2105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11</xdr:row>
      <xdr:rowOff>0</xdr:rowOff>
    </xdr:from>
    <xdr:to>
      <xdr:col>4</xdr:col>
      <xdr:colOff>200025</xdr:colOff>
      <xdr:row>11</xdr:row>
      <xdr:rowOff>171450</xdr:rowOff>
    </xdr:to>
    <xdr:sp macro="" textlink="">
      <xdr:nvSpPr>
        <xdr:cNvPr id="48" name="Rectangle 7">
          <a:extLst>
            <a:ext uri="{FF2B5EF4-FFF2-40B4-BE49-F238E27FC236}">
              <a16:creationId xmlns:a16="http://schemas.microsoft.com/office/drawing/2014/main" id="{8AD34483-E4A7-44A0-9BC4-058C64FE5CCF}"/>
            </a:ext>
            <a:ext uri="{147F2762-F138-4A5C-976F-8EAC2B608ADB}">
              <a16:predDERef xmlns:a16="http://schemas.microsoft.com/office/drawing/2014/main" pred="{DBC59B31-A651-4E00-9C28-F2667E208144}"/>
            </a:ext>
          </a:extLst>
        </xdr:cNvPr>
        <xdr:cNvSpPr/>
      </xdr:nvSpPr>
      <xdr:spPr>
        <a:xfrm>
          <a:off x="819150" y="1914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13</xdr:row>
      <xdr:rowOff>0</xdr:rowOff>
    </xdr:from>
    <xdr:to>
      <xdr:col>4</xdr:col>
      <xdr:colOff>200025</xdr:colOff>
      <xdr:row>13</xdr:row>
      <xdr:rowOff>171450</xdr:rowOff>
    </xdr:to>
    <xdr:sp macro="" textlink="">
      <xdr:nvSpPr>
        <xdr:cNvPr id="49" name="Rectangle 7">
          <a:extLst>
            <a:ext uri="{FF2B5EF4-FFF2-40B4-BE49-F238E27FC236}">
              <a16:creationId xmlns:a16="http://schemas.microsoft.com/office/drawing/2014/main" id="{06C0284E-ACA2-489D-8745-3D82719DC7C9}"/>
            </a:ext>
            <a:ext uri="{147F2762-F138-4A5C-976F-8EAC2B608ADB}">
              <a16:predDERef xmlns:a16="http://schemas.microsoft.com/office/drawing/2014/main" pred="{8AD34483-E4A7-44A0-9BC4-058C64FE5CCF}"/>
            </a:ext>
          </a:extLst>
        </xdr:cNvPr>
        <xdr:cNvSpPr/>
      </xdr:nvSpPr>
      <xdr:spPr>
        <a:xfrm>
          <a:off x="819150" y="2295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14</xdr:row>
      <xdr:rowOff>0</xdr:rowOff>
    </xdr:from>
    <xdr:to>
      <xdr:col>4</xdr:col>
      <xdr:colOff>200025</xdr:colOff>
      <xdr:row>14</xdr:row>
      <xdr:rowOff>171450</xdr:rowOff>
    </xdr:to>
    <xdr:sp macro="" textlink="">
      <xdr:nvSpPr>
        <xdr:cNvPr id="50" name="Rectangle 7">
          <a:extLst>
            <a:ext uri="{FF2B5EF4-FFF2-40B4-BE49-F238E27FC236}">
              <a16:creationId xmlns:a16="http://schemas.microsoft.com/office/drawing/2014/main" id="{EE0FAD52-9A6A-4017-94AC-0DD8E39707D3}"/>
            </a:ext>
            <a:ext uri="{147F2762-F138-4A5C-976F-8EAC2B608ADB}">
              <a16:predDERef xmlns:a16="http://schemas.microsoft.com/office/drawing/2014/main" pred="{06C0284E-ACA2-489D-8745-3D82719DC7C9}"/>
            </a:ext>
          </a:extLst>
        </xdr:cNvPr>
        <xdr:cNvSpPr/>
      </xdr:nvSpPr>
      <xdr:spPr>
        <a:xfrm>
          <a:off x="819150" y="2486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3</xdr:row>
      <xdr:rowOff>0</xdr:rowOff>
    </xdr:from>
    <xdr:to>
      <xdr:col>25</xdr:col>
      <xdr:colOff>190500</xdr:colOff>
      <xdr:row>3</xdr:row>
      <xdr:rowOff>171450</xdr:rowOff>
    </xdr:to>
    <xdr:sp macro="" textlink="">
      <xdr:nvSpPr>
        <xdr:cNvPr id="51" name="Rectangle 1">
          <a:extLst>
            <a:ext uri="{FF2B5EF4-FFF2-40B4-BE49-F238E27FC236}">
              <a16:creationId xmlns:a16="http://schemas.microsoft.com/office/drawing/2014/main" id="{BB10983E-1BC6-489F-95FF-CA9E48CD1140}"/>
            </a:ext>
            <a:ext uri="{147F2762-F138-4A5C-976F-8EAC2B608ADB}">
              <a16:predDERef xmlns:a16="http://schemas.microsoft.com/office/drawing/2014/main" pred="{EE0FAD52-9A6A-4017-94AC-0DD8E39707D3}"/>
            </a:ext>
          </a:extLst>
        </xdr:cNvPr>
        <xdr:cNvSpPr/>
      </xdr:nvSpPr>
      <xdr:spPr>
        <a:xfrm>
          <a:off x="25288875" y="390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4</xdr:row>
      <xdr:rowOff>0</xdr:rowOff>
    </xdr:from>
    <xdr:to>
      <xdr:col>25</xdr:col>
      <xdr:colOff>190500</xdr:colOff>
      <xdr:row>4</xdr:row>
      <xdr:rowOff>171450</xdr:rowOff>
    </xdr:to>
    <xdr:sp macro="" textlink="">
      <xdr:nvSpPr>
        <xdr:cNvPr id="52" name="Rectangle 1">
          <a:extLst>
            <a:ext uri="{FF2B5EF4-FFF2-40B4-BE49-F238E27FC236}">
              <a16:creationId xmlns:a16="http://schemas.microsoft.com/office/drawing/2014/main" id="{FB063371-270D-4AF9-993B-5CDD5DD62903}"/>
            </a:ext>
            <a:ext uri="{147F2762-F138-4A5C-976F-8EAC2B608ADB}">
              <a16:predDERef xmlns:a16="http://schemas.microsoft.com/office/drawing/2014/main" pred="{BB10983E-1BC6-489F-95FF-CA9E48CD1140}"/>
            </a:ext>
          </a:extLst>
        </xdr:cNvPr>
        <xdr:cNvSpPr/>
      </xdr:nvSpPr>
      <xdr:spPr>
        <a:xfrm>
          <a:off x="25288875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5</xdr:row>
      <xdr:rowOff>0</xdr:rowOff>
    </xdr:from>
    <xdr:to>
      <xdr:col>25</xdr:col>
      <xdr:colOff>190500</xdr:colOff>
      <xdr:row>5</xdr:row>
      <xdr:rowOff>171450</xdr:rowOff>
    </xdr:to>
    <xdr:sp macro="" textlink="">
      <xdr:nvSpPr>
        <xdr:cNvPr id="53" name="Rectangle 1">
          <a:extLst>
            <a:ext uri="{FF2B5EF4-FFF2-40B4-BE49-F238E27FC236}">
              <a16:creationId xmlns:a16="http://schemas.microsoft.com/office/drawing/2014/main" id="{F2D7D01E-2009-4AFD-9E97-B9AAC4B89250}"/>
            </a:ext>
            <a:ext uri="{147F2762-F138-4A5C-976F-8EAC2B608ADB}">
              <a16:predDERef xmlns:a16="http://schemas.microsoft.com/office/drawing/2014/main" pred="{FB063371-270D-4AF9-993B-5CDD5DD62903}"/>
            </a:ext>
          </a:extLst>
        </xdr:cNvPr>
        <xdr:cNvSpPr/>
      </xdr:nvSpPr>
      <xdr:spPr>
        <a:xfrm>
          <a:off x="25288875" y="771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6</xdr:row>
      <xdr:rowOff>0</xdr:rowOff>
    </xdr:from>
    <xdr:to>
      <xdr:col>25</xdr:col>
      <xdr:colOff>190500</xdr:colOff>
      <xdr:row>6</xdr:row>
      <xdr:rowOff>171450</xdr:rowOff>
    </xdr:to>
    <xdr:sp macro="" textlink="">
      <xdr:nvSpPr>
        <xdr:cNvPr id="54" name="Rectangle 1">
          <a:extLst>
            <a:ext uri="{FF2B5EF4-FFF2-40B4-BE49-F238E27FC236}">
              <a16:creationId xmlns:a16="http://schemas.microsoft.com/office/drawing/2014/main" id="{F57F2A39-5540-4667-9D66-21628A17AE96}"/>
            </a:ext>
            <a:ext uri="{147F2762-F138-4A5C-976F-8EAC2B608ADB}">
              <a16:predDERef xmlns:a16="http://schemas.microsoft.com/office/drawing/2014/main" pred="{F2D7D01E-2009-4AFD-9E97-B9AAC4B89250}"/>
            </a:ext>
          </a:extLst>
        </xdr:cNvPr>
        <xdr:cNvSpPr/>
      </xdr:nvSpPr>
      <xdr:spPr>
        <a:xfrm>
          <a:off x="25288875" y="962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2</xdr:row>
      <xdr:rowOff>0</xdr:rowOff>
    </xdr:from>
    <xdr:to>
      <xdr:col>25</xdr:col>
      <xdr:colOff>190500</xdr:colOff>
      <xdr:row>2</xdr:row>
      <xdr:rowOff>171450</xdr:rowOff>
    </xdr:to>
    <xdr:sp macro="" textlink="">
      <xdr:nvSpPr>
        <xdr:cNvPr id="55" name="Rectangle 1">
          <a:extLst>
            <a:ext uri="{FF2B5EF4-FFF2-40B4-BE49-F238E27FC236}">
              <a16:creationId xmlns:a16="http://schemas.microsoft.com/office/drawing/2014/main" id="{13416DB9-2022-4EA2-8DA4-7ED8826C3F6D}"/>
            </a:ext>
            <a:ext uri="{147F2762-F138-4A5C-976F-8EAC2B608ADB}">
              <a16:predDERef xmlns:a16="http://schemas.microsoft.com/office/drawing/2014/main" pred="{F57F2A39-5540-4667-9D66-21628A17AE96}"/>
            </a:ext>
          </a:extLst>
        </xdr:cNvPr>
        <xdr:cNvSpPr/>
      </xdr:nvSpPr>
      <xdr:spPr>
        <a:xfrm>
          <a:off x="25288875" y="200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7</xdr:row>
      <xdr:rowOff>0</xdr:rowOff>
    </xdr:from>
    <xdr:to>
      <xdr:col>25</xdr:col>
      <xdr:colOff>190500</xdr:colOff>
      <xdr:row>7</xdr:row>
      <xdr:rowOff>171450</xdr:rowOff>
    </xdr:to>
    <xdr:sp macro="" textlink="">
      <xdr:nvSpPr>
        <xdr:cNvPr id="56" name="Rectangle 1">
          <a:extLst>
            <a:ext uri="{FF2B5EF4-FFF2-40B4-BE49-F238E27FC236}">
              <a16:creationId xmlns:a16="http://schemas.microsoft.com/office/drawing/2014/main" id="{26EDB044-C2DF-498E-B87C-CC93351C3E8E}"/>
            </a:ext>
            <a:ext uri="{147F2762-F138-4A5C-976F-8EAC2B608ADB}">
              <a16:predDERef xmlns:a16="http://schemas.microsoft.com/office/drawing/2014/main" pred="{13416DB9-2022-4EA2-8DA4-7ED8826C3F6D}"/>
            </a:ext>
          </a:extLst>
        </xdr:cNvPr>
        <xdr:cNvSpPr/>
      </xdr:nvSpPr>
      <xdr:spPr>
        <a:xfrm>
          <a:off x="25288875" y="1152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8</xdr:row>
      <xdr:rowOff>0</xdr:rowOff>
    </xdr:from>
    <xdr:to>
      <xdr:col>25</xdr:col>
      <xdr:colOff>190500</xdr:colOff>
      <xdr:row>8</xdr:row>
      <xdr:rowOff>171450</xdr:rowOff>
    </xdr:to>
    <xdr:sp macro="" textlink="">
      <xdr:nvSpPr>
        <xdr:cNvPr id="57" name="Rectangle 1">
          <a:extLst>
            <a:ext uri="{FF2B5EF4-FFF2-40B4-BE49-F238E27FC236}">
              <a16:creationId xmlns:a16="http://schemas.microsoft.com/office/drawing/2014/main" id="{54C099A3-7A11-4595-B897-142B074AF20C}"/>
            </a:ext>
            <a:ext uri="{147F2762-F138-4A5C-976F-8EAC2B608ADB}">
              <a16:predDERef xmlns:a16="http://schemas.microsoft.com/office/drawing/2014/main" pred="{26EDB044-C2DF-498E-B87C-CC93351C3E8E}"/>
            </a:ext>
          </a:extLst>
        </xdr:cNvPr>
        <xdr:cNvSpPr/>
      </xdr:nvSpPr>
      <xdr:spPr>
        <a:xfrm>
          <a:off x="25288875" y="1343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9</xdr:row>
      <xdr:rowOff>0</xdr:rowOff>
    </xdr:from>
    <xdr:to>
      <xdr:col>25</xdr:col>
      <xdr:colOff>190500</xdr:colOff>
      <xdr:row>9</xdr:row>
      <xdr:rowOff>171450</xdr:rowOff>
    </xdr:to>
    <xdr:sp macro="" textlink="">
      <xdr:nvSpPr>
        <xdr:cNvPr id="58" name="Rectangle 1">
          <a:extLst>
            <a:ext uri="{FF2B5EF4-FFF2-40B4-BE49-F238E27FC236}">
              <a16:creationId xmlns:a16="http://schemas.microsoft.com/office/drawing/2014/main" id="{77848BBB-85AB-4958-AC74-F7D3CEF6FAF8}"/>
            </a:ext>
            <a:ext uri="{147F2762-F138-4A5C-976F-8EAC2B608ADB}">
              <a16:predDERef xmlns:a16="http://schemas.microsoft.com/office/drawing/2014/main" pred="{54C099A3-7A11-4595-B897-142B074AF20C}"/>
            </a:ext>
          </a:extLst>
        </xdr:cNvPr>
        <xdr:cNvSpPr/>
      </xdr:nvSpPr>
      <xdr:spPr>
        <a:xfrm>
          <a:off x="25288875" y="1533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10</xdr:row>
      <xdr:rowOff>0</xdr:rowOff>
    </xdr:from>
    <xdr:to>
      <xdr:col>25</xdr:col>
      <xdr:colOff>190500</xdr:colOff>
      <xdr:row>10</xdr:row>
      <xdr:rowOff>171450</xdr:rowOff>
    </xdr:to>
    <xdr:sp macro="" textlink="">
      <xdr:nvSpPr>
        <xdr:cNvPr id="59" name="Rectangle 1">
          <a:extLst>
            <a:ext uri="{FF2B5EF4-FFF2-40B4-BE49-F238E27FC236}">
              <a16:creationId xmlns:a16="http://schemas.microsoft.com/office/drawing/2014/main" id="{634FE9C6-CD62-46E8-945C-DCE19A3F84B2}"/>
            </a:ext>
            <a:ext uri="{147F2762-F138-4A5C-976F-8EAC2B608ADB}">
              <a16:predDERef xmlns:a16="http://schemas.microsoft.com/office/drawing/2014/main" pred="{77848BBB-85AB-4958-AC74-F7D3CEF6FAF8}"/>
            </a:ext>
          </a:extLst>
        </xdr:cNvPr>
        <xdr:cNvSpPr/>
      </xdr:nvSpPr>
      <xdr:spPr>
        <a:xfrm>
          <a:off x="25288875" y="1724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11</xdr:row>
      <xdr:rowOff>0</xdr:rowOff>
    </xdr:from>
    <xdr:to>
      <xdr:col>25</xdr:col>
      <xdr:colOff>190500</xdr:colOff>
      <xdr:row>11</xdr:row>
      <xdr:rowOff>171450</xdr:rowOff>
    </xdr:to>
    <xdr:sp macro="" textlink="">
      <xdr:nvSpPr>
        <xdr:cNvPr id="60" name="Rectangle 1">
          <a:extLst>
            <a:ext uri="{FF2B5EF4-FFF2-40B4-BE49-F238E27FC236}">
              <a16:creationId xmlns:a16="http://schemas.microsoft.com/office/drawing/2014/main" id="{D5718610-3C33-4E6F-A844-A8C7C04EB9E2}"/>
            </a:ext>
            <a:ext uri="{147F2762-F138-4A5C-976F-8EAC2B608ADB}">
              <a16:predDERef xmlns:a16="http://schemas.microsoft.com/office/drawing/2014/main" pred="{634FE9C6-CD62-46E8-945C-DCE19A3F84B2}"/>
            </a:ext>
          </a:extLst>
        </xdr:cNvPr>
        <xdr:cNvSpPr/>
      </xdr:nvSpPr>
      <xdr:spPr>
        <a:xfrm>
          <a:off x="25288875" y="1914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2</xdr:row>
      <xdr:rowOff>0</xdr:rowOff>
    </xdr:from>
    <xdr:to>
      <xdr:col>28</xdr:col>
      <xdr:colOff>190500</xdr:colOff>
      <xdr:row>2</xdr:row>
      <xdr:rowOff>171450</xdr:rowOff>
    </xdr:to>
    <xdr:sp macro="" textlink="">
      <xdr:nvSpPr>
        <xdr:cNvPr id="61" name="Rectangle 1">
          <a:extLst>
            <a:ext uri="{FF2B5EF4-FFF2-40B4-BE49-F238E27FC236}">
              <a16:creationId xmlns:a16="http://schemas.microsoft.com/office/drawing/2014/main" id="{36F93161-BF84-4301-9B80-638DD918C28A}"/>
            </a:ext>
            <a:ext uri="{147F2762-F138-4A5C-976F-8EAC2B608ADB}">
              <a16:predDERef xmlns:a16="http://schemas.microsoft.com/office/drawing/2014/main" pred="{D5718610-3C33-4E6F-A844-A8C7C04EB9E2}"/>
            </a:ext>
          </a:extLst>
        </xdr:cNvPr>
        <xdr:cNvSpPr/>
      </xdr:nvSpPr>
      <xdr:spPr>
        <a:xfrm>
          <a:off x="31308675" y="200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3</xdr:row>
      <xdr:rowOff>0</xdr:rowOff>
    </xdr:from>
    <xdr:to>
      <xdr:col>28</xdr:col>
      <xdr:colOff>190500</xdr:colOff>
      <xdr:row>3</xdr:row>
      <xdr:rowOff>171450</xdr:rowOff>
    </xdr:to>
    <xdr:sp macro="" textlink="">
      <xdr:nvSpPr>
        <xdr:cNvPr id="62" name="Rectangle 1">
          <a:extLst>
            <a:ext uri="{FF2B5EF4-FFF2-40B4-BE49-F238E27FC236}">
              <a16:creationId xmlns:a16="http://schemas.microsoft.com/office/drawing/2014/main" id="{CDC175FF-72A5-40AE-8FFC-D95A28705E0A}"/>
            </a:ext>
            <a:ext uri="{147F2762-F138-4A5C-976F-8EAC2B608ADB}">
              <a16:predDERef xmlns:a16="http://schemas.microsoft.com/office/drawing/2014/main" pred="{36F93161-BF84-4301-9B80-638DD918C28A}"/>
            </a:ext>
          </a:extLst>
        </xdr:cNvPr>
        <xdr:cNvSpPr/>
      </xdr:nvSpPr>
      <xdr:spPr>
        <a:xfrm>
          <a:off x="31308675" y="390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4</xdr:row>
      <xdr:rowOff>0</xdr:rowOff>
    </xdr:from>
    <xdr:to>
      <xdr:col>28</xdr:col>
      <xdr:colOff>190500</xdr:colOff>
      <xdr:row>4</xdr:row>
      <xdr:rowOff>171450</xdr:rowOff>
    </xdr:to>
    <xdr:sp macro="" textlink="">
      <xdr:nvSpPr>
        <xdr:cNvPr id="63" name="Rectangle 1">
          <a:extLst>
            <a:ext uri="{FF2B5EF4-FFF2-40B4-BE49-F238E27FC236}">
              <a16:creationId xmlns:a16="http://schemas.microsoft.com/office/drawing/2014/main" id="{D3CFA945-6CAC-4925-A30D-8FEE977E05F9}"/>
            </a:ext>
            <a:ext uri="{147F2762-F138-4A5C-976F-8EAC2B608ADB}">
              <a16:predDERef xmlns:a16="http://schemas.microsoft.com/office/drawing/2014/main" pred="{CDC175FF-72A5-40AE-8FFC-D95A28705E0A}"/>
            </a:ext>
          </a:extLst>
        </xdr:cNvPr>
        <xdr:cNvSpPr/>
      </xdr:nvSpPr>
      <xdr:spPr>
        <a:xfrm>
          <a:off x="31308675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5</xdr:row>
      <xdr:rowOff>0</xdr:rowOff>
    </xdr:from>
    <xdr:to>
      <xdr:col>28</xdr:col>
      <xdr:colOff>190500</xdr:colOff>
      <xdr:row>5</xdr:row>
      <xdr:rowOff>171450</xdr:rowOff>
    </xdr:to>
    <xdr:sp macro="" textlink="">
      <xdr:nvSpPr>
        <xdr:cNvPr id="64" name="Rectangle 1">
          <a:extLst>
            <a:ext uri="{FF2B5EF4-FFF2-40B4-BE49-F238E27FC236}">
              <a16:creationId xmlns:a16="http://schemas.microsoft.com/office/drawing/2014/main" id="{16D7E2E3-4ED1-4723-963B-A1107FF2CE59}"/>
            </a:ext>
            <a:ext uri="{147F2762-F138-4A5C-976F-8EAC2B608ADB}">
              <a16:predDERef xmlns:a16="http://schemas.microsoft.com/office/drawing/2014/main" pred="{D3CFA945-6CAC-4925-A30D-8FEE977E05F9}"/>
            </a:ext>
          </a:extLst>
        </xdr:cNvPr>
        <xdr:cNvSpPr/>
      </xdr:nvSpPr>
      <xdr:spPr>
        <a:xfrm>
          <a:off x="31308675" y="771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6</xdr:row>
      <xdr:rowOff>0</xdr:rowOff>
    </xdr:from>
    <xdr:to>
      <xdr:col>28</xdr:col>
      <xdr:colOff>190500</xdr:colOff>
      <xdr:row>6</xdr:row>
      <xdr:rowOff>171450</xdr:rowOff>
    </xdr:to>
    <xdr:sp macro="" textlink="">
      <xdr:nvSpPr>
        <xdr:cNvPr id="65" name="Rectangle 1">
          <a:extLst>
            <a:ext uri="{FF2B5EF4-FFF2-40B4-BE49-F238E27FC236}">
              <a16:creationId xmlns:a16="http://schemas.microsoft.com/office/drawing/2014/main" id="{4BE680E7-0922-4CFC-A0B7-57D929545EC3}"/>
            </a:ext>
            <a:ext uri="{147F2762-F138-4A5C-976F-8EAC2B608ADB}">
              <a16:predDERef xmlns:a16="http://schemas.microsoft.com/office/drawing/2014/main" pred="{16D7E2E3-4ED1-4723-963B-A1107FF2CE59}"/>
            </a:ext>
          </a:extLst>
        </xdr:cNvPr>
        <xdr:cNvSpPr/>
      </xdr:nvSpPr>
      <xdr:spPr>
        <a:xfrm>
          <a:off x="31308675" y="962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7</xdr:row>
      <xdr:rowOff>0</xdr:rowOff>
    </xdr:from>
    <xdr:to>
      <xdr:col>28</xdr:col>
      <xdr:colOff>190500</xdr:colOff>
      <xdr:row>7</xdr:row>
      <xdr:rowOff>171450</xdr:rowOff>
    </xdr:to>
    <xdr:sp macro="" textlink="">
      <xdr:nvSpPr>
        <xdr:cNvPr id="66" name="Rectangle 1">
          <a:extLst>
            <a:ext uri="{FF2B5EF4-FFF2-40B4-BE49-F238E27FC236}">
              <a16:creationId xmlns:a16="http://schemas.microsoft.com/office/drawing/2014/main" id="{82ADAAB9-9090-4602-9741-D79426E0F5F7}"/>
            </a:ext>
            <a:ext uri="{147F2762-F138-4A5C-976F-8EAC2B608ADB}">
              <a16:predDERef xmlns:a16="http://schemas.microsoft.com/office/drawing/2014/main" pred="{4BE680E7-0922-4CFC-A0B7-57D929545EC3}"/>
            </a:ext>
          </a:extLst>
        </xdr:cNvPr>
        <xdr:cNvSpPr/>
      </xdr:nvSpPr>
      <xdr:spPr>
        <a:xfrm>
          <a:off x="31308675" y="1152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8</xdr:row>
      <xdr:rowOff>0</xdr:rowOff>
    </xdr:from>
    <xdr:to>
      <xdr:col>28</xdr:col>
      <xdr:colOff>190500</xdr:colOff>
      <xdr:row>8</xdr:row>
      <xdr:rowOff>171450</xdr:rowOff>
    </xdr:to>
    <xdr:sp macro="" textlink="">
      <xdr:nvSpPr>
        <xdr:cNvPr id="67" name="Rectangle 1">
          <a:extLst>
            <a:ext uri="{FF2B5EF4-FFF2-40B4-BE49-F238E27FC236}">
              <a16:creationId xmlns:a16="http://schemas.microsoft.com/office/drawing/2014/main" id="{28D09AEF-93CA-4FCB-AAE5-AA51D6AC79D2}"/>
            </a:ext>
            <a:ext uri="{147F2762-F138-4A5C-976F-8EAC2B608ADB}">
              <a16:predDERef xmlns:a16="http://schemas.microsoft.com/office/drawing/2014/main" pred="{82ADAAB9-9090-4602-9741-D79426E0F5F7}"/>
            </a:ext>
          </a:extLst>
        </xdr:cNvPr>
        <xdr:cNvSpPr/>
      </xdr:nvSpPr>
      <xdr:spPr>
        <a:xfrm>
          <a:off x="31308675" y="1343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9</xdr:row>
      <xdr:rowOff>0</xdr:rowOff>
    </xdr:from>
    <xdr:to>
      <xdr:col>28</xdr:col>
      <xdr:colOff>190500</xdr:colOff>
      <xdr:row>9</xdr:row>
      <xdr:rowOff>171450</xdr:rowOff>
    </xdr:to>
    <xdr:sp macro="" textlink="">
      <xdr:nvSpPr>
        <xdr:cNvPr id="68" name="Rectangle 1">
          <a:extLst>
            <a:ext uri="{FF2B5EF4-FFF2-40B4-BE49-F238E27FC236}">
              <a16:creationId xmlns:a16="http://schemas.microsoft.com/office/drawing/2014/main" id="{D5A62BA3-89EB-478C-A12C-44CE562A1723}"/>
            </a:ext>
            <a:ext uri="{147F2762-F138-4A5C-976F-8EAC2B608ADB}">
              <a16:predDERef xmlns:a16="http://schemas.microsoft.com/office/drawing/2014/main" pred="{28D09AEF-93CA-4FCB-AAE5-AA51D6AC79D2}"/>
            </a:ext>
          </a:extLst>
        </xdr:cNvPr>
        <xdr:cNvSpPr/>
      </xdr:nvSpPr>
      <xdr:spPr>
        <a:xfrm>
          <a:off x="31308675" y="1533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10</xdr:row>
      <xdr:rowOff>0</xdr:rowOff>
    </xdr:from>
    <xdr:to>
      <xdr:col>28</xdr:col>
      <xdr:colOff>190500</xdr:colOff>
      <xdr:row>10</xdr:row>
      <xdr:rowOff>171450</xdr:rowOff>
    </xdr:to>
    <xdr:sp macro="" textlink="">
      <xdr:nvSpPr>
        <xdr:cNvPr id="69" name="Rectangle 1">
          <a:extLst>
            <a:ext uri="{FF2B5EF4-FFF2-40B4-BE49-F238E27FC236}">
              <a16:creationId xmlns:a16="http://schemas.microsoft.com/office/drawing/2014/main" id="{9CFD9285-0555-4B45-8CFA-A1D5F3BC691A}"/>
            </a:ext>
            <a:ext uri="{147F2762-F138-4A5C-976F-8EAC2B608ADB}">
              <a16:predDERef xmlns:a16="http://schemas.microsoft.com/office/drawing/2014/main" pred="{D5A62BA3-89EB-478C-A12C-44CE562A1723}"/>
            </a:ext>
          </a:extLst>
        </xdr:cNvPr>
        <xdr:cNvSpPr/>
      </xdr:nvSpPr>
      <xdr:spPr>
        <a:xfrm>
          <a:off x="31308675" y="1724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11</xdr:row>
      <xdr:rowOff>0</xdr:rowOff>
    </xdr:from>
    <xdr:to>
      <xdr:col>28</xdr:col>
      <xdr:colOff>190500</xdr:colOff>
      <xdr:row>11</xdr:row>
      <xdr:rowOff>171450</xdr:rowOff>
    </xdr:to>
    <xdr:sp macro="" textlink="">
      <xdr:nvSpPr>
        <xdr:cNvPr id="70" name="Rectangle 1">
          <a:extLst>
            <a:ext uri="{FF2B5EF4-FFF2-40B4-BE49-F238E27FC236}">
              <a16:creationId xmlns:a16="http://schemas.microsoft.com/office/drawing/2014/main" id="{EB8977B7-D2EF-4615-80D6-7EE5F0A7FAF3}"/>
            </a:ext>
            <a:ext uri="{147F2762-F138-4A5C-976F-8EAC2B608ADB}">
              <a16:predDERef xmlns:a16="http://schemas.microsoft.com/office/drawing/2014/main" pred="{9CFD9285-0555-4B45-8CFA-A1D5F3BC691A}"/>
            </a:ext>
          </a:extLst>
        </xdr:cNvPr>
        <xdr:cNvSpPr/>
      </xdr:nvSpPr>
      <xdr:spPr>
        <a:xfrm>
          <a:off x="31308675" y="1914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12</xdr:row>
      <xdr:rowOff>0</xdr:rowOff>
    </xdr:from>
    <xdr:to>
      <xdr:col>28</xdr:col>
      <xdr:colOff>190500</xdr:colOff>
      <xdr:row>12</xdr:row>
      <xdr:rowOff>171450</xdr:rowOff>
    </xdr:to>
    <xdr:sp macro="" textlink="">
      <xdr:nvSpPr>
        <xdr:cNvPr id="71" name="Rectangle 1">
          <a:extLst>
            <a:ext uri="{FF2B5EF4-FFF2-40B4-BE49-F238E27FC236}">
              <a16:creationId xmlns:a16="http://schemas.microsoft.com/office/drawing/2014/main" id="{2AA22CAC-C618-4286-A775-98CAE0723145}"/>
            </a:ext>
            <a:ext uri="{147F2762-F138-4A5C-976F-8EAC2B608ADB}">
              <a16:predDERef xmlns:a16="http://schemas.microsoft.com/office/drawing/2014/main" pred="{EB8977B7-D2EF-4615-80D6-7EE5F0A7FAF3}"/>
            </a:ext>
          </a:extLst>
        </xdr:cNvPr>
        <xdr:cNvSpPr/>
      </xdr:nvSpPr>
      <xdr:spPr>
        <a:xfrm>
          <a:off x="31308675" y="2105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2</xdr:row>
      <xdr:rowOff>0</xdr:rowOff>
    </xdr:from>
    <xdr:to>
      <xdr:col>17</xdr:col>
      <xdr:colOff>200025</xdr:colOff>
      <xdr:row>2</xdr:row>
      <xdr:rowOff>171450</xdr:rowOff>
    </xdr:to>
    <xdr:sp macro="" textlink="">
      <xdr:nvSpPr>
        <xdr:cNvPr id="72" name="Rectangle 7">
          <a:extLst>
            <a:ext uri="{FF2B5EF4-FFF2-40B4-BE49-F238E27FC236}">
              <a16:creationId xmlns:a16="http://schemas.microsoft.com/office/drawing/2014/main" id="{97EBD9C0-5A86-4E44-8D1D-BEA3A2163D27}"/>
            </a:ext>
            <a:ext uri="{147F2762-F138-4A5C-976F-8EAC2B608ADB}">
              <a16:predDERef xmlns:a16="http://schemas.microsoft.com/office/drawing/2014/main" pred="{2AA22CAC-C618-4286-A775-98CAE0723145}"/>
            </a:ext>
          </a:extLst>
        </xdr:cNvPr>
        <xdr:cNvSpPr/>
      </xdr:nvSpPr>
      <xdr:spPr>
        <a:xfrm>
          <a:off x="18202275" y="200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171450</xdr:colOff>
      <xdr:row>3</xdr:row>
      <xdr:rowOff>171450</xdr:rowOff>
    </xdr:to>
    <xdr:sp macro="" textlink="">
      <xdr:nvSpPr>
        <xdr:cNvPr id="73" name="Rectangle 7">
          <a:extLst>
            <a:ext uri="{FF2B5EF4-FFF2-40B4-BE49-F238E27FC236}">
              <a16:creationId xmlns:a16="http://schemas.microsoft.com/office/drawing/2014/main" id="{B906FCA4-8945-4B28-A337-BCEF22328802}"/>
            </a:ext>
            <a:ext uri="{147F2762-F138-4A5C-976F-8EAC2B608ADB}">
              <a16:predDERef xmlns:a16="http://schemas.microsoft.com/office/drawing/2014/main" pred="{97EBD9C0-5A86-4E44-8D1D-BEA3A2163D27}"/>
            </a:ext>
          </a:extLst>
        </xdr:cNvPr>
        <xdr:cNvSpPr/>
      </xdr:nvSpPr>
      <xdr:spPr>
        <a:xfrm>
          <a:off x="18173700" y="390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171450</xdr:colOff>
      <xdr:row>4</xdr:row>
      <xdr:rowOff>171450</xdr:rowOff>
    </xdr:to>
    <xdr:sp macro="" textlink="">
      <xdr:nvSpPr>
        <xdr:cNvPr id="74" name="Rectangle 7">
          <a:extLst>
            <a:ext uri="{FF2B5EF4-FFF2-40B4-BE49-F238E27FC236}">
              <a16:creationId xmlns:a16="http://schemas.microsoft.com/office/drawing/2014/main" id="{D4A67373-7DF0-4605-9E0C-2FFFD6B80E72}"/>
            </a:ext>
            <a:ext uri="{147F2762-F138-4A5C-976F-8EAC2B608ADB}">
              <a16:predDERef xmlns:a16="http://schemas.microsoft.com/office/drawing/2014/main" pred="{B906FCA4-8945-4B28-A337-BCEF22328802}"/>
            </a:ext>
          </a:extLst>
        </xdr:cNvPr>
        <xdr:cNvSpPr/>
      </xdr:nvSpPr>
      <xdr:spPr>
        <a:xfrm>
          <a:off x="18173700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5</xdr:row>
      <xdr:rowOff>0</xdr:rowOff>
    </xdr:from>
    <xdr:to>
      <xdr:col>17</xdr:col>
      <xdr:colOff>171450</xdr:colOff>
      <xdr:row>5</xdr:row>
      <xdr:rowOff>171450</xdr:rowOff>
    </xdr:to>
    <xdr:sp macro="" textlink="">
      <xdr:nvSpPr>
        <xdr:cNvPr id="75" name="Rectangle 7">
          <a:extLst>
            <a:ext uri="{FF2B5EF4-FFF2-40B4-BE49-F238E27FC236}">
              <a16:creationId xmlns:a16="http://schemas.microsoft.com/office/drawing/2014/main" id="{BA4FCE05-3FBC-4592-9334-E50310DFE4E3}"/>
            </a:ext>
            <a:ext uri="{147F2762-F138-4A5C-976F-8EAC2B608ADB}">
              <a16:predDERef xmlns:a16="http://schemas.microsoft.com/office/drawing/2014/main" pred="{D4A67373-7DF0-4605-9E0C-2FFFD6B80E72}"/>
            </a:ext>
          </a:extLst>
        </xdr:cNvPr>
        <xdr:cNvSpPr/>
      </xdr:nvSpPr>
      <xdr:spPr>
        <a:xfrm>
          <a:off x="18173700" y="771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171450</xdr:colOff>
      <xdr:row>6</xdr:row>
      <xdr:rowOff>171450</xdr:rowOff>
    </xdr:to>
    <xdr:sp macro="" textlink="">
      <xdr:nvSpPr>
        <xdr:cNvPr id="76" name="Rectangle 7">
          <a:extLst>
            <a:ext uri="{FF2B5EF4-FFF2-40B4-BE49-F238E27FC236}">
              <a16:creationId xmlns:a16="http://schemas.microsoft.com/office/drawing/2014/main" id="{8778BF0A-4092-4610-A20E-18FCCC5B02E7}"/>
            </a:ext>
            <a:ext uri="{147F2762-F138-4A5C-976F-8EAC2B608ADB}">
              <a16:predDERef xmlns:a16="http://schemas.microsoft.com/office/drawing/2014/main" pred="{BA4FCE05-3FBC-4592-9334-E50310DFE4E3}"/>
            </a:ext>
          </a:extLst>
        </xdr:cNvPr>
        <xdr:cNvSpPr/>
      </xdr:nvSpPr>
      <xdr:spPr>
        <a:xfrm>
          <a:off x="18173700" y="962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7</xdr:row>
      <xdr:rowOff>0</xdr:rowOff>
    </xdr:from>
    <xdr:to>
      <xdr:col>17</xdr:col>
      <xdr:colOff>171450</xdr:colOff>
      <xdr:row>7</xdr:row>
      <xdr:rowOff>171450</xdr:rowOff>
    </xdr:to>
    <xdr:sp macro="" textlink="">
      <xdr:nvSpPr>
        <xdr:cNvPr id="77" name="Rectangle 7">
          <a:extLst>
            <a:ext uri="{FF2B5EF4-FFF2-40B4-BE49-F238E27FC236}">
              <a16:creationId xmlns:a16="http://schemas.microsoft.com/office/drawing/2014/main" id="{AA47DDA9-7D01-4C7F-A5E2-3BA6EF9E7CB0}"/>
            </a:ext>
            <a:ext uri="{147F2762-F138-4A5C-976F-8EAC2B608ADB}">
              <a16:predDERef xmlns:a16="http://schemas.microsoft.com/office/drawing/2014/main" pred="{8778BF0A-4092-4610-A20E-18FCCC5B02E7}"/>
            </a:ext>
          </a:extLst>
        </xdr:cNvPr>
        <xdr:cNvSpPr/>
      </xdr:nvSpPr>
      <xdr:spPr>
        <a:xfrm>
          <a:off x="18173700" y="1152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171450</xdr:colOff>
      <xdr:row>8</xdr:row>
      <xdr:rowOff>171450</xdr:rowOff>
    </xdr:to>
    <xdr:sp macro="" textlink="">
      <xdr:nvSpPr>
        <xdr:cNvPr id="78" name="Rectangle 7">
          <a:extLst>
            <a:ext uri="{FF2B5EF4-FFF2-40B4-BE49-F238E27FC236}">
              <a16:creationId xmlns:a16="http://schemas.microsoft.com/office/drawing/2014/main" id="{687A0B20-C283-41A0-B531-1F453C5C4092}"/>
            </a:ext>
            <a:ext uri="{147F2762-F138-4A5C-976F-8EAC2B608ADB}">
              <a16:predDERef xmlns:a16="http://schemas.microsoft.com/office/drawing/2014/main" pred="{AA47DDA9-7D01-4C7F-A5E2-3BA6EF9E7CB0}"/>
            </a:ext>
          </a:extLst>
        </xdr:cNvPr>
        <xdr:cNvSpPr/>
      </xdr:nvSpPr>
      <xdr:spPr>
        <a:xfrm>
          <a:off x="18173700" y="1343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9</xdr:row>
      <xdr:rowOff>0</xdr:rowOff>
    </xdr:from>
    <xdr:to>
      <xdr:col>17</xdr:col>
      <xdr:colOff>171450</xdr:colOff>
      <xdr:row>9</xdr:row>
      <xdr:rowOff>171450</xdr:rowOff>
    </xdr:to>
    <xdr:sp macro="" textlink="">
      <xdr:nvSpPr>
        <xdr:cNvPr id="79" name="Rectangle 7">
          <a:extLst>
            <a:ext uri="{FF2B5EF4-FFF2-40B4-BE49-F238E27FC236}">
              <a16:creationId xmlns:a16="http://schemas.microsoft.com/office/drawing/2014/main" id="{F1BCD28C-2529-4CCF-A011-BA1136C0F106}"/>
            </a:ext>
            <a:ext uri="{147F2762-F138-4A5C-976F-8EAC2B608ADB}">
              <a16:predDERef xmlns:a16="http://schemas.microsoft.com/office/drawing/2014/main" pred="{687A0B20-C283-41A0-B531-1F453C5C4092}"/>
            </a:ext>
          </a:extLst>
        </xdr:cNvPr>
        <xdr:cNvSpPr/>
      </xdr:nvSpPr>
      <xdr:spPr>
        <a:xfrm>
          <a:off x="18173700" y="1533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171450</xdr:colOff>
      <xdr:row>10</xdr:row>
      <xdr:rowOff>171450</xdr:rowOff>
    </xdr:to>
    <xdr:sp macro="" textlink="">
      <xdr:nvSpPr>
        <xdr:cNvPr id="80" name="Rectangle 7">
          <a:extLst>
            <a:ext uri="{FF2B5EF4-FFF2-40B4-BE49-F238E27FC236}">
              <a16:creationId xmlns:a16="http://schemas.microsoft.com/office/drawing/2014/main" id="{B77D8E6F-465D-4DA0-A109-372E17B493FA}"/>
            </a:ext>
            <a:ext uri="{147F2762-F138-4A5C-976F-8EAC2B608ADB}">
              <a16:predDERef xmlns:a16="http://schemas.microsoft.com/office/drawing/2014/main" pred="{F1BCD28C-2529-4CCF-A011-BA1136C0F106}"/>
            </a:ext>
          </a:extLst>
        </xdr:cNvPr>
        <xdr:cNvSpPr/>
      </xdr:nvSpPr>
      <xdr:spPr>
        <a:xfrm>
          <a:off x="18173700" y="1724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171450</xdr:colOff>
      <xdr:row>11</xdr:row>
      <xdr:rowOff>171450</xdr:rowOff>
    </xdr:to>
    <xdr:sp macro="" textlink="">
      <xdr:nvSpPr>
        <xdr:cNvPr id="81" name="Rectangle 7">
          <a:extLst>
            <a:ext uri="{FF2B5EF4-FFF2-40B4-BE49-F238E27FC236}">
              <a16:creationId xmlns:a16="http://schemas.microsoft.com/office/drawing/2014/main" id="{8F6318D8-7D59-4431-B6AE-FDFC2FA97456}"/>
            </a:ext>
            <a:ext uri="{147F2762-F138-4A5C-976F-8EAC2B608ADB}">
              <a16:predDERef xmlns:a16="http://schemas.microsoft.com/office/drawing/2014/main" pred="{B77D8E6F-465D-4DA0-A109-372E17B493FA}"/>
            </a:ext>
          </a:extLst>
        </xdr:cNvPr>
        <xdr:cNvSpPr/>
      </xdr:nvSpPr>
      <xdr:spPr>
        <a:xfrm>
          <a:off x="18173700" y="1914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13</xdr:row>
      <xdr:rowOff>0</xdr:rowOff>
    </xdr:from>
    <xdr:to>
      <xdr:col>25</xdr:col>
      <xdr:colOff>190500</xdr:colOff>
      <xdr:row>13</xdr:row>
      <xdr:rowOff>171450</xdr:rowOff>
    </xdr:to>
    <xdr:sp macro="" textlink="">
      <xdr:nvSpPr>
        <xdr:cNvPr id="82" name="Rectangle 4">
          <a:extLst>
            <a:ext uri="{FF2B5EF4-FFF2-40B4-BE49-F238E27FC236}">
              <a16:creationId xmlns:a16="http://schemas.microsoft.com/office/drawing/2014/main" id="{7AC9DA92-0950-48FD-8BE8-87C7022CA881}"/>
            </a:ext>
            <a:ext uri="{147F2762-F138-4A5C-976F-8EAC2B608ADB}">
              <a16:predDERef xmlns:a16="http://schemas.microsoft.com/office/drawing/2014/main" pred="{8F6318D8-7D59-4431-B6AE-FDFC2FA97456}"/>
            </a:ext>
          </a:extLst>
        </xdr:cNvPr>
        <xdr:cNvSpPr/>
      </xdr:nvSpPr>
      <xdr:spPr>
        <a:xfrm>
          <a:off x="25288875" y="2295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12</xdr:row>
      <xdr:rowOff>0</xdr:rowOff>
    </xdr:from>
    <xdr:to>
      <xdr:col>25</xdr:col>
      <xdr:colOff>190500</xdr:colOff>
      <xdr:row>12</xdr:row>
      <xdr:rowOff>171450</xdr:rowOff>
    </xdr:to>
    <xdr:sp macro="" textlink="">
      <xdr:nvSpPr>
        <xdr:cNvPr id="83" name="Rectangle 5">
          <a:extLst>
            <a:ext uri="{FF2B5EF4-FFF2-40B4-BE49-F238E27FC236}">
              <a16:creationId xmlns:a16="http://schemas.microsoft.com/office/drawing/2014/main" id="{20F749DB-1E81-496D-8DC3-4F0D58D4E7E7}"/>
            </a:ext>
            <a:ext uri="{147F2762-F138-4A5C-976F-8EAC2B608ADB}">
              <a16:predDERef xmlns:a16="http://schemas.microsoft.com/office/drawing/2014/main" pred="{7AC9DA92-0950-48FD-8BE8-87C7022CA881}"/>
            </a:ext>
          </a:extLst>
        </xdr:cNvPr>
        <xdr:cNvSpPr/>
      </xdr:nvSpPr>
      <xdr:spPr>
        <a:xfrm>
          <a:off x="25288875" y="2105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25</xdr:col>
      <xdr:colOff>19050</xdr:colOff>
      <xdr:row>14</xdr:row>
      <xdr:rowOff>0</xdr:rowOff>
    </xdr:from>
    <xdr:to>
      <xdr:col>25</xdr:col>
      <xdr:colOff>190500</xdr:colOff>
      <xdr:row>14</xdr:row>
      <xdr:rowOff>171450</xdr:rowOff>
    </xdr:to>
    <xdr:sp macro="" textlink="">
      <xdr:nvSpPr>
        <xdr:cNvPr id="84" name="Rectangle 6">
          <a:extLst>
            <a:ext uri="{FF2B5EF4-FFF2-40B4-BE49-F238E27FC236}">
              <a16:creationId xmlns:a16="http://schemas.microsoft.com/office/drawing/2014/main" id="{C4206124-FB85-4657-B120-AB6F2D1D1934}"/>
            </a:ext>
            <a:ext uri="{147F2762-F138-4A5C-976F-8EAC2B608ADB}">
              <a16:predDERef xmlns:a16="http://schemas.microsoft.com/office/drawing/2014/main" pred="{20F749DB-1E81-496D-8DC3-4F0D58D4E7E7}"/>
            </a:ext>
          </a:extLst>
        </xdr:cNvPr>
        <xdr:cNvSpPr/>
      </xdr:nvSpPr>
      <xdr:spPr>
        <a:xfrm>
          <a:off x="25288875" y="2486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14</xdr:row>
      <xdr:rowOff>0</xdr:rowOff>
    </xdr:from>
    <xdr:to>
      <xdr:col>28</xdr:col>
      <xdr:colOff>190500</xdr:colOff>
      <xdr:row>14</xdr:row>
      <xdr:rowOff>171450</xdr:rowOff>
    </xdr:to>
    <xdr:sp macro="" textlink="">
      <xdr:nvSpPr>
        <xdr:cNvPr id="85" name="Rectangle 7">
          <a:extLst>
            <a:ext uri="{FF2B5EF4-FFF2-40B4-BE49-F238E27FC236}">
              <a16:creationId xmlns:a16="http://schemas.microsoft.com/office/drawing/2014/main" id="{4439BECF-BC73-490C-89FC-1F7888D07A6A}"/>
            </a:ext>
            <a:ext uri="{147F2762-F138-4A5C-976F-8EAC2B608ADB}">
              <a16:predDERef xmlns:a16="http://schemas.microsoft.com/office/drawing/2014/main" pred="{C4206124-FB85-4657-B120-AB6F2D1D1934}"/>
            </a:ext>
          </a:extLst>
        </xdr:cNvPr>
        <xdr:cNvSpPr/>
      </xdr:nvSpPr>
      <xdr:spPr>
        <a:xfrm>
          <a:off x="31308675" y="2486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28</xdr:col>
      <xdr:colOff>19050</xdr:colOff>
      <xdr:row>13</xdr:row>
      <xdr:rowOff>0</xdr:rowOff>
    </xdr:from>
    <xdr:to>
      <xdr:col>28</xdr:col>
      <xdr:colOff>190500</xdr:colOff>
      <xdr:row>13</xdr:row>
      <xdr:rowOff>171450</xdr:rowOff>
    </xdr:to>
    <xdr:sp macro="" textlink="">
      <xdr:nvSpPr>
        <xdr:cNvPr id="86" name="Rectangle 8">
          <a:extLst>
            <a:ext uri="{FF2B5EF4-FFF2-40B4-BE49-F238E27FC236}">
              <a16:creationId xmlns:a16="http://schemas.microsoft.com/office/drawing/2014/main" id="{1AA2CDD4-A4CE-43E6-B25C-E5805714965D}"/>
            </a:ext>
            <a:ext uri="{147F2762-F138-4A5C-976F-8EAC2B608ADB}">
              <a16:predDERef xmlns:a16="http://schemas.microsoft.com/office/drawing/2014/main" pred="{4439BECF-BC73-490C-89FC-1F7888D07A6A}"/>
            </a:ext>
          </a:extLst>
        </xdr:cNvPr>
        <xdr:cNvSpPr/>
      </xdr:nvSpPr>
      <xdr:spPr>
        <a:xfrm>
          <a:off x="31308675" y="2295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171450</xdr:colOff>
      <xdr:row>4</xdr:row>
      <xdr:rowOff>171450</xdr:rowOff>
    </xdr:to>
    <xdr:sp macro="" textlink="">
      <xdr:nvSpPr>
        <xdr:cNvPr id="88" name="Rectangle 7">
          <a:extLst>
            <a:ext uri="{FF2B5EF4-FFF2-40B4-BE49-F238E27FC236}">
              <a16:creationId xmlns:a16="http://schemas.microsoft.com/office/drawing/2014/main" id="{66335F59-E059-4FA1-90B2-57945136058E}"/>
            </a:ext>
            <a:ext uri="{147F2762-F138-4A5C-976F-8EAC2B608ADB}">
              <a16:predDERef xmlns:a16="http://schemas.microsoft.com/office/drawing/2014/main" pred="{9BCE7552-F78B-42C7-86B6-78E405ED3D9A}"/>
            </a:ext>
          </a:extLst>
        </xdr:cNvPr>
        <xdr:cNvSpPr/>
      </xdr:nvSpPr>
      <xdr:spPr>
        <a:xfrm>
          <a:off x="18173700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4</xdr:row>
      <xdr:rowOff>0</xdr:rowOff>
    </xdr:from>
    <xdr:to>
      <xdr:col>17</xdr:col>
      <xdr:colOff>200025</xdr:colOff>
      <xdr:row>4</xdr:row>
      <xdr:rowOff>171450</xdr:rowOff>
    </xdr:to>
    <xdr:sp macro="" textlink="">
      <xdr:nvSpPr>
        <xdr:cNvPr id="89" name="Rectangle 7">
          <a:extLst>
            <a:ext uri="{FF2B5EF4-FFF2-40B4-BE49-F238E27FC236}">
              <a16:creationId xmlns:a16="http://schemas.microsoft.com/office/drawing/2014/main" id="{EA8D5BD7-BC0E-4428-8CE4-AAE4FD704C09}"/>
            </a:ext>
            <a:ext uri="{147F2762-F138-4A5C-976F-8EAC2B608ADB}">
              <a16:predDERef xmlns:a16="http://schemas.microsoft.com/office/drawing/2014/main" pred="{66335F59-E059-4FA1-90B2-57945136058E}"/>
            </a:ext>
          </a:extLst>
        </xdr:cNvPr>
        <xdr:cNvSpPr/>
      </xdr:nvSpPr>
      <xdr:spPr>
        <a:xfrm>
          <a:off x="18202275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5</xdr:row>
      <xdr:rowOff>0</xdr:rowOff>
    </xdr:from>
    <xdr:to>
      <xdr:col>17</xdr:col>
      <xdr:colOff>200025</xdr:colOff>
      <xdr:row>5</xdr:row>
      <xdr:rowOff>171450</xdr:rowOff>
    </xdr:to>
    <xdr:sp macro="" textlink="">
      <xdr:nvSpPr>
        <xdr:cNvPr id="90" name="Rectangle 7">
          <a:extLst>
            <a:ext uri="{FF2B5EF4-FFF2-40B4-BE49-F238E27FC236}">
              <a16:creationId xmlns:a16="http://schemas.microsoft.com/office/drawing/2014/main" id="{37B130C3-FD6F-4C05-B3DA-AA31BF54F4C7}"/>
            </a:ext>
            <a:ext uri="{147F2762-F138-4A5C-976F-8EAC2B608ADB}">
              <a16:predDERef xmlns:a16="http://schemas.microsoft.com/office/drawing/2014/main" pred="{EA8D5BD7-BC0E-4428-8CE4-AAE4FD704C09}"/>
            </a:ext>
          </a:extLst>
        </xdr:cNvPr>
        <xdr:cNvSpPr/>
      </xdr:nvSpPr>
      <xdr:spPr>
        <a:xfrm>
          <a:off x="18202275" y="771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6</xdr:row>
      <xdr:rowOff>0</xdr:rowOff>
    </xdr:from>
    <xdr:to>
      <xdr:col>17</xdr:col>
      <xdr:colOff>200025</xdr:colOff>
      <xdr:row>6</xdr:row>
      <xdr:rowOff>171450</xdr:rowOff>
    </xdr:to>
    <xdr:sp macro="" textlink="">
      <xdr:nvSpPr>
        <xdr:cNvPr id="91" name="Rectangle 7">
          <a:extLst>
            <a:ext uri="{FF2B5EF4-FFF2-40B4-BE49-F238E27FC236}">
              <a16:creationId xmlns:a16="http://schemas.microsoft.com/office/drawing/2014/main" id="{00B3D4C0-BE6B-42DD-A8FD-A7A0DC8A3172}"/>
            </a:ext>
            <a:ext uri="{147F2762-F138-4A5C-976F-8EAC2B608ADB}">
              <a16:predDERef xmlns:a16="http://schemas.microsoft.com/office/drawing/2014/main" pred="{37B130C3-FD6F-4C05-B3DA-AA31BF54F4C7}"/>
            </a:ext>
          </a:extLst>
        </xdr:cNvPr>
        <xdr:cNvSpPr/>
      </xdr:nvSpPr>
      <xdr:spPr>
        <a:xfrm>
          <a:off x="18202275" y="962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7</xdr:row>
      <xdr:rowOff>0</xdr:rowOff>
    </xdr:from>
    <xdr:to>
      <xdr:col>17</xdr:col>
      <xdr:colOff>200025</xdr:colOff>
      <xdr:row>7</xdr:row>
      <xdr:rowOff>171450</xdr:rowOff>
    </xdr:to>
    <xdr:sp macro="" textlink="">
      <xdr:nvSpPr>
        <xdr:cNvPr id="92" name="Rectangle 7">
          <a:extLst>
            <a:ext uri="{FF2B5EF4-FFF2-40B4-BE49-F238E27FC236}">
              <a16:creationId xmlns:a16="http://schemas.microsoft.com/office/drawing/2014/main" id="{844742AA-4895-4F36-B663-0431B896E434}"/>
            </a:ext>
            <a:ext uri="{147F2762-F138-4A5C-976F-8EAC2B608ADB}">
              <a16:predDERef xmlns:a16="http://schemas.microsoft.com/office/drawing/2014/main" pred="{00B3D4C0-BE6B-42DD-A8FD-A7A0DC8A3172}"/>
            </a:ext>
          </a:extLst>
        </xdr:cNvPr>
        <xdr:cNvSpPr/>
      </xdr:nvSpPr>
      <xdr:spPr>
        <a:xfrm>
          <a:off x="18202275" y="1152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8</xdr:row>
      <xdr:rowOff>0</xdr:rowOff>
    </xdr:from>
    <xdr:to>
      <xdr:col>17</xdr:col>
      <xdr:colOff>200025</xdr:colOff>
      <xdr:row>8</xdr:row>
      <xdr:rowOff>171450</xdr:rowOff>
    </xdr:to>
    <xdr:sp macro="" textlink="">
      <xdr:nvSpPr>
        <xdr:cNvPr id="93" name="Rectangle 7">
          <a:extLst>
            <a:ext uri="{FF2B5EF4-FFF2-40B4-BE49-F238E27FC236}">
              <a16:creationId xmlns:a16="http://schemas.microsoft.com/office/drawing/2014/main" id="{6EECD5BE-DA3B-4687-BF1E-E3FBAD4A19A4}"/>
            </a:ext>
            <a:ext uri="{147F2762-F138-4A5C-976F-8EAC2B608ADB}">
              <a16:predDERef xmlns:a16="http://schemas.microsoft.com/office/drawing/2014/main" pred="{844742AA-4895-4F36-B663-0431B896E434}"/>
            </a:ext>
          </a:extLst>
        </xdr:cNvPr>
        <xdr:cNvSpPr/>
      </xdr:nvSpPr>
      <xdr:spPr>
        <a:xfrm>
          <a:off x="18202275" y="1343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9</xdr:row>
      <xdr:rowOff>0</xdr:rowOff>
    </xdr:from>
    <xdr:to>
      <xdr:col>17</xdr:col>
      <xdr:colOff>200025</xdr:colOff>
      <xdr:row>9</xdr:row>
      <xdr:rowOff>171450</xdr:rowOff>
    </xdr:to>
    <xdr:sp macro="" textlink="">
      <xdr:nvSpPr>
        <xdr:cNvPr id="94" name="Rectangle 7">
          <a:extLst>
            <a:ext uri="{FF2B5EF4-FFF2-40B4-BE49-F238E27FC236}">
              <a16:creationId xmlns:a16="http://schemas.microsoft.com/office/drawing/2014/main" id="{CD88EA82-5BC5-495B-B8FF-C8C43A88B122}"/>
            </a:ext>
            <a:ext uri="{147F2762-F138-4A5C-976F-8EAC2B608ADB}">
              <a16:predDERef xmlns:a16="http://schemas.microsoft.com/office/drawing/2014/main" pred="{6EECD5BE-DA3B-4687-BF1E-E3FBAD4A19A4}"/>
            </a:ext>
          </a:extLst>
        </xdr:cNvPr>
        <xdr:cNvSpPr/>
      </xdr:nvSpPr>
      <xdr:spPr>
        <a:xfrm>
          <a:off x="18202275" y="1533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10</xdr:row>
      <xdr:rowOff>0</xdr:rowOff>
    </xdr:from>
    <xdr:to>
      <xdr:col>17</xdr:col>
      <xdr:colOff>200025</xdr:colOff>
      <xdr:row>10</xdr:row>
      <xdr:rowOff>171450</xdr:rowOff>
    </xdr:to>
    <xdr:sp macro="" textlink="">
      <xdr:nvSpPr>
        <xdr:cNvPr id="95" name="Rectangle 7">
          <a:extLst>
            <a:ext uri="{FF2B5EF4-FFF2-40B4-BE49-F238E27FC236}">
              <a16:creationId xmlns:a16="http://schemas.microsoft.com/office/drawing/2014/main" id="{8D54A3F9-BF2E-4E85-9F93-2720996614D7}"/>
            </a:ext>
            <a:ext uri="{147F2762-F138-4A5C-976F-8EAC2B608ADB}">
              <a16:predDERef xmlns:a16="http://schemas.microsoft.com/office/drawing/2014/main" pred="{CD88EA82-5BC5-495B-B8FF-C8C43A88B122}"/>
            </a:ext>
          </a:extLst>
        </xdr:cNvPr>
        <xdr:cNvSpPr/>
      </xdr:nvSpPr>
      <xdr:spPr>
        <a:xfrm>
          <a:off x="18202275" y="1724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12</xdr:row>
      <xdr:rowOff>0</xdr:rowOff>
    </xdr:from>
    <xdr:to>
      <xdr:col>17</xdr:col>
      <xdr:colOff>200025</xdr:colOff>
      <xdr:row>12</xdr:row>
      <xdr:rowOff>171450</xdr:rowOff>
    </xdr:to>
    <xdr:sp macro="" textlink="">
      <xdr:nvSpPr>
        <xdr:cNvPr id="96" name="Rectangle 7">
          <a:extLst>
            <a:ext uri="{FF2B5EF4-FFF2-40B4-BE49-F238E27FC236}">
              <a16:creationId xmlns:a16="http://schemas.microsoft.com/office/drawing/2014/main" id="{D89E5605-43FF-498E-ABE0-50706D2062EF}"/>
            </a:ext>
            <a:ext uri="{147F2762-F138-4A5C-976F-8EAC2B608ADB}">
              <a16:predDERef xmlns:a16="http://schemas.microsoft.com/office/drawing/2014/main" pred="{8D54A3F9-BF2E-4E85-9F93-2720996614D7}"/>
            </a:ext>
          </a:extLst>
        </xdr:cNvPr>
        <xdr:cNvSpPr/>
      </xdr:nvSpPr>
      <xdr:spPr>
        <a:xfrm>
          <a:off x="18202275" y="2105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11</xdr:row>
      <xdr:rowOff>0</xdr:rowOff>
    </xdr:from>
    <xdr:to>
      <xdr:col>17</xdr:col>
      <xdr:colOff>200025</xdr:colOff>
      <xdr:row>11</xdr:row>
      <xdr:rowOff>171450</xdr:rowOff>
    </xdr:to>
    <xdr:sp macro="" textlink="">
      <xdr:nvSpPr>
        <xdr:cNvPr id="97" name="Rectangle 7">
          <a:extLst>
            <a:ext uri="{FF2B5EF4-FFF2-40B4-BE49-F238E27FC236}">
              <a16:creationId xmlns:a16="http://schemas.microsoft.com/office/drawing/2014/main" id="{164E3A36-9C1B-4FCB-838B-C38A65F4ED80}"/>
            </a:ext>
            <a:ext uri="{147F2762-F138-4A5C-976F-8EAC2B608ADB}">
              <a16:predDERef xmlns:a16="http://schemas.microsoft.com/office/drawing/2014/main" pred="{D89E5605-43FF-498E-ABE0-50706D2062EF}"/>
            </a:ext>
          </a:extLst>
        </xdr:cNvPr>
        <xdr:cNvSpPr/>
      </xdr:nvSpPr>
      <xdr:spPr>
        <a:xfrm>
          <a:off x="18202275" y="1914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13</xdr:row>
      <xdr:rowOff>0</xdr:rowOff>
    </xdr:from>
    <xdr:to>
      <xdr:col>17</xdr:col>
      <xdr:colOff>200025</xdr:colOff>
      <xdr:row>13</xdr:row>
      <xdr:rowOff>171450</xdr:rowOff>
    </xdr:to>
    <xdr:sp macro="" textlink="">
      <xdr:nvSpPr>
        <xdr:cNvPr id="98" name="Rectangle 7">
          <a:extLst>
            <a:ext uri="{FF2B5EF4-FFF2-40B4-BE49-F238E27FC236}">
              <a16:creationId xmlns:a16="http://schemas.microsoft.com/office/drawing/2014/main" id="{EE65903C-BAA9-4E9F-8551-CC9331D1C392}"/>
            </a:ext>
            <a:ext uri="{147F2762-F138-4A5C-976F-8EAC2B608ADB}">
              <a16:predDERef xmlns:a16="http://schemas.microsoft.com/office/drawing/2014/main" pred="{164E3A36-9C1B-4FCB-838B-C38A65F4ED80}"/>
            </a:ext>
          </a:extLst>
        </xdr:cNvPr>
        <xdr:cNvSpPr/>
      </xdr:nvSpPr>
      <xdr:spPr>
        <a:xfrm>
          <a:off x="18202275" y="2295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14</xdr:row>
      <xdr:rowOff>0</xdr:rowOff>
    </xdr:from>
    <xdr:to>
      <xdr:col>17</xdr:col>
      <xdr:colOff>200025</xdr:colOff>
      <xdr:row>14</xdr:row>
      <xdr:rowOff>171450</xdr:rowOff>
    </xdr:to>
    <xdr:sp macro="" textlink="">
      <xdr:nvSpPr>
        <xdr:cNvPr id="99" name="Rectangle 7">
          <a:extLst>
            <a:ext uri="{FF2B5EF4-FFF2-40B4-BE49-F238E27FC236}">
              <a16:creationId xmlns:a16="http://schemas.microsoft.com/office/drawing/2014/main" id="{FFC17EB7-95D4-4556-948F-EFB5228CC569}"/>
            </a:ext>
            <a:ext uri="{147F2762-F138-4A5C-976F-8EAC2B608ADB}">
              <a16:predDERef xmlns:a16="http://schemas.microsoft.com/office/drawing/2014/main" pred="{EE65903C-BAA9-4E9F-8551-CC9331D1C392}"/>
            </a:ext>
          </a:extLst>
        </xdr:cNvPr>
        <xdr:cNvSpPr/>
      </xdr:nvSpPr>
      <xdr:spPr>
        <a:xfrm>
          <a:off x="18202275" y="2486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</xdr:colOff>
      <xdr:row>2</xdr:row>
      <xdr:rowOff>0</xdr:rowOff>
    </xdr:from>
    <xdr:to>
      <xdr:col>11</xdr:col>
      <xdr:colOff>190500</xdr:colOff>
      <xdr:row>2</xdr:row>
      <xdr:rowOff>171450</xdr:rowOff>
    </xdr:to>
    <xdr:sp macro="" textlink="">
      <xdr:nvSpPr>
        <xdr:cNvPr id="17" name="Rectangle 1">
          <a:extLst>
            <a:ext uri="{FF2B5EF4-FFF2-40B4-BE49-F238E27FC236}">
              <a16:creationId xmlns:a16="http://schemas.microsoft.com/office/drawing/2014/main" id="{EE693E48-A1D7-45BF-AE56-F93F2DB02612}"/>
            </a:ext>
            <a:ext uri="{147F2762-F138-4A5C-976F-8EAC2B608ADB}">
              <a16:predDERef xmlns:a16="http://schemas.microsoft.com/office/drawing/2014/main" pred="{926E6AD4-F2A1-A848-4AF8-322BBBF499C7}"/>
            </a:ext>
          </a:extLst>
        </xdr:cNvPr>
        <xdr:cNvSpPr/>
      </xdr:nvSpPr>
      <xdr:spPr>
        <a:xfrm>
          <a:off x="5286375" y="628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3</xdr:row>
      <xdr:rowOff>0</xdr:rowOff>
    </xdr:from>
    <xdr:to>
      <xdr:col>11</xdr:col>
      <xdr:colOff>190500</xdr:colOff>
      <xdr:row>3</xdr:row>
      <xdr:rowOff>171450</xdr:rowOff>
    </xdr:to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E2C3C5BF-87CA-4904-A76D-C4293C6AD1EE}"/>
            </a:ext>
            <a:ext uri="{147F2762-F138-4A5C-976F-8EAC2B608ADB}">
              <a16:predDERef xmlns:a16="http://schemas.microsoft.com/office/drawing/2014/main" pred="{EE693E48-A1D7-45BF-AE56-F93F2DB02612}"/>
            </a:ext>
          </a:extLst>
        </xdr:cNvPr>
        <xdr:cNvSpPr/>
      </xdr:nvSpPr>
      <xdr:spPr>
        <a:xfrm>
          <a:off x="5286375" y="819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4</xdr:row>
      <xdr:rowOff>0</xdr:rowOff>
    </xdr:from>
    <xdr:to>
      <xdr:col>11</xdr:col>
      <xdr:colOff>190500</xdr:colOff>
      <xdr:row>4</xdr:row>
      <xdr:rowOff>171450</xdr:rowOff>
    </xdr:to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9C424875-429E-43F9-B100-5C4535698781}"/>
            </a:ext>
            <a:ext uri="{147F2762-F138-4A5C-976F-8EAC2B608ADB}">
              <a16:predDERef xmlns:a16="http://schemas.microsoft.com/office/drawing/2014/main" pred="{E2C3C5BF-87CA-4904-A76D-C4293C6AD1EE}"/>
            </a:ext>
          </a:extLst>
        </xdr:cNvPr>
        <xdr:cNvSpPr/>
      </xdr:nvSpPr>
      <xdr:spPr>
        <a:xfrm>
          <a:off x="5286375" y="1009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5</xdr:row>
      <xdr:rowOff>0</xdr:rowOff>
    </xdr:from>
    <xdr:to>
      <xdr:col>11</xdr:col>
      <xdr:colOff>190500</xdr:colOff>
      <xdr:row>5</xdr:row>
      <xdr:rowOff>171450</xdr:rowOff>
    </xdr:to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4DA9B3D4-E911-4530-B482-4C489D32185B}"/>
            </a:ext>
            <a:ext uri="{147F2762-F138-4A5C-976F-8EAC2B608ADB}">
              <a16:predDERef xmlns:a16="http://schemas.microsoft.com/office/drawing/2014/main" pred="{9C424875-429E-43F9-B100-5C4535698781}"/>
            </a:ext>
          </a:extLst>
        </xdr:cNvPr>
        <xdr:cNvSpPr/>
      </xdr:nvSpPr>
      <xdr:spPr>
        <a:xfrm>
          <a:off x="5286375" y="1200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1</xdr:row>
      <xdr:rowOff>0</xdr:rowOff>
    </xdr:from>
    <xdr:to>
      <xdr:col>11</xdr:col>
      <xdr:colOff>190500</xdr:colOff>
      <xdr:row>1</xdr:row>
      <xdr:rowOff>171450</xdr:rowOff>
    </xdr:to>
    <xdr:sp macro="" textlink="">
      <xdr:nvSpPr>
        <xdr:cNvPr id="31" name="Rectangle 1">
          <a:extLst>
            <a:ext uri="{FF2B5EF4-FFF2-40B4-BE49-F238E27FC236}">
              <a16:creationId xmlns:a16="http://schemas.microsoft.com/office/drawing/2014/main" id="{6FF8E0CC-8BAC-451B-943A-B1385E3868C1}"/>
            </a:ext>
            <a:ext uri="{147F2762-F138-4A5C-976F-8EAC2B608ADB}">
              <a16:predDERef xmlns:a16="http://schemas.microsoft.com/office/drawing/2014/main" pred="{4DA9B3D4-E911-4530-B482-4C489D32185B}"/>
            </a:ext>
          </a:extLst>
        </xdr:cNvPr>
        <xdr:cNvSpPr/>
      </xdr:nvSpPr>
      <xdr:spPr>
        <a:xfrm>
          <a:off x="5286375" y="438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6</xdr:row>
      <xdr:rowOff>0</xdr:rowOff>
    </xdr:from>
    <xdr:to>
      <xdr:col>11</xdr:col>
      <xdr:colOff>190500</xdr:colOff>
      <xdr:row>6</xdr:row>
      <xdr:rowOff>171450</xdr:rowOff>
    </xdr:to>
    <xdr:sp macro="" textlink="">
      <xdr:nvSpPr>
        <xdr:cNvPr id="34" name="Rectangle 1">
          <a:extLst>
            <a:ext uri="{FF2B5EF4-FFF2-40B4-BE49-F238E27FC236}">
              <a16:creationId xmlns:a16="http://schemas.microsoft.com/office/drawing/2014/main" id="{D2267186-2EDB-4565-B099-8EEFC6683109}"/>
            </a:ext>
            <a:ext uri="{147F2762-F138-4A5C-976F-8EAC2B608ADB}">
              <a16:predDERef xmlns:a16="http://schemas.microsoft.com/office/drawing/2014/main" pred="{6FF8E0CC-8BAC-451B-943A-B1385E3868C1}"/>
            </a:ext>
          </a:extLst>
        </xdr:cNvPr>
        <xdr:cNvSpPr/>
      </xdr:nvSpPr>
      <xdr:spPr>
        <a:xfrm>
          <a:off x="5286375" y="1390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7</xdr:row>
      <xdr:rowOff>0</xdr:rowOff>
    </xdr:from>
    <xdr:to>
      <xdr:col>11</xdr:col>
      <xdr:colOff>190500</xdr:colOff>
      <xdr:row>7</xdr:row>
      <xdr:rowOff>171450</xdr:rowOff>
    </xdr:to>
    <xdr:sp macro="" textlink="">
      <xdr:nvSpPr>
        <xdr:cNvPr id="36" name="Rectangle 1">
          <a:extLst>
            <a:ext uri="{FF2B5EF4-FFF2-40B4-BE49-F238E27FC236}">
              <a16:creationId xmlns:a16="http://schemas.microsoft.com/office/drawing/2014/main" id="{478C7D8F-9AFE-4BF0-B1FB-F8728ABF23A1}"/>
            </a:ext>
            <a:ext uri="{147F2762-F138-4A5C-976F-8EAC2B608ADB}">
              <a16:predDERef xmlns:a16="http://schemas.microsoft.com/office/drawing/2014/main" pred="{D2267186-2EDB-4565-B099-8EEFC6683109}"/>
            </a:ext>
          </a:extLst>
        </xdr:cNvPr>
        <xdr:cNvSpPr/>
      </xdr:nvSpPr>
      <xdr:spPr>
        <a:xfrm>
          <a:off x="5286375" y="1581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8</xdr:row>
      <xdr:rowOff>0</xdr:rowOff>
    </xdr:from>
    <xdr:to>
      <xdr:col>11</xdr:col>
      <xdr:colOff>190500</xdr:colOff>
      <xdr:row>8</xdr:row>
      <xdr:rowOff>171450</xdr:rowOff>
    </xdr:to>
    <xdr:sp macro="" textlink="">
      <xdr:nvSpPr>
        <xdr:cNvPr id="38" name="Rectangle 1">
          <a:extLst>
            <a:ext uri="{FF2B5EF4-FFF2-40B4-BE49-F238E27FC236}">
              <a16:creationId xmlns:a16="http://schemas.microsoft.com/office/drawing/2014/main" id="{D0266CCD-ABF7-4071-9D8E-59ADEA62B82A}"/>
            </a:ext>
            <a:ext uri="{147F2762-F138-4A5C-976F-8EAC2B608ADB}">
              <a16:predDERef xmlns:a16="http://schemas.microsoft.com/office/drawing/2014/main" pred="{478C7D8F-9AFE-4BF0-B1FB-F8728ABF23A1}"/>
            </a:ext>
          </a:extLst>
        </xdr:cNvPr>
        <xdr:cNvSpPr/>
      </xdr:nvSpPr>
      <xdr:spPr>
        <a:xfrm>
          <a:off x="5286375" y="1771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9</xdr:row>
      <xdr:rowOff>0</xdr:rowOff>
    </xdr:from>
    <xdr:to>
      <xdr:col>11</xdr:col>
      <xdr:colOff>190500</xdr:colOff>
      <xdr:row>9</xdr:row>
      <xdr:rowOff>171450</xdr:rowOff>
    </xdr:to>
    <xdr:sp macro="" textlink="">
      <xdr:nvSpPr>
        <xdr:cNvPr id="40" name="Rectangle 1">
          <a:extLst>
            <a:ext uri="{FF2B5EF4-FFF2-40B4-BE49-F238E27FC236}">
              <a16:creationId xmlns:a16="http://schemas.microsoft.com/office/drawing/2014/main" id="{710EFE4E-AE65-48D3-B05D-FE6B93E5E6E6}"/>
            </a:ext>
            <a:ext uri="{147F2762-F138-4A5C-976F-8EAC2B608ADB}">
              <a16:predDERef xmlns:a16="http://schemas.microsoft.com/office/drawing/2014/main" pred="{D0266CCD-ABF7-4071-9D8E-59ADEA62B82A}"/>
            </a:ext>
          </a:extLst>
        </xdr:cNvPr>
        <xdr:cNvSpPr/>
      </xdr:nvSpPr>
      <xdr:spPr>
        <a:xfrm>
          <a:off x="5286375" y="1962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10</xdr:row>
      <xdr:rowOff>0</xdr:rowOff>
    </xdr:from>
    <xdr:to>
      <xdr:col>11</xdr:col>
      <xdr:colOff>190500</xdr:colOff>
      <xdr:row>10</xdr:row>
      <xdr:rowOff>171450</xdr:rowOff>
    </xdr:to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98931B07-7E3C-43B9-994C-67A721B7ADC1}"/>
            </a:ext>
            <a:ext uri="{147F2762-F138-4A5C-976F-8EAC2B608ADB}">
              <a16:predDERef xmlns:a16="http://schemas.microsoft.com/office/drawing/2014/main" pred="{710EFE4E-AE65-48D3-B05D-FE6B93E5E6E6}"/>
            </a:ext>
          </a:extLst>
        </xdr:cNvPr>
        <xdr:cNvSpPr/>
      </xdr:nvSpPr>
      <xdr:spPr>
        <a:xfrm>
          <a:off x="5286375" y="2152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1</xdr:row>
      <xdr:rowOff>0</xdr:rowOff>
    </xdr:from>
    <xdr:to>
      <xdr:col>14</xdr:col>
      <xdr:colOff>190500</xdr:colOff>
      <xdr:row>1</xdr:row>
      <xdr:rowOff>171450</xdr:rowOff>
    </xdr:to>
    <xdr:sp macro="" textlink="">
      <xdr:nvSpPr>
        <xdr:cNvPr id="47" name="Rectangle 1">
          <a:extLst>
            <a:ext uri="{FF2B5EF4-FFF2-40B4-BE49-F238E27FC236}">
              <a16:creationId xmlns:a16="http://schemas.microsoft.com/office/drawing/2014/main" id="{1CD2B922-F8FF-4CDF-B1A2-FDA2EC19BBD3}"/>
            </a:ext>
            <a:ext uri="{147F2762-F138-4A5C-976F-8EAC2B608ADB}">
              <a16:predDERef xmlns:a16="http://schemas.microsoft.com/office/drawing/2014/main" pred="{98931B07-7E3C-43B9-994C-67A721B7ADC1}"/>
            </a:ext>
          </a:extLst>
        </xdr:cNvPr>
        <xdr:cNvSpPr/>
      </xdr:nvSpPr>
      <xdr:spPr>
        <a:xfrm>
          <a:off x="13325475" y="438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2</xdr:row>
      <xdr:rowOff>0</xdr:rowOff>
    </xdr:from>
    <xdr:to>
      <xdr:col>14</xdr:col>
      <xdr:colOff>190500</xdr:colOff>
      <xdr:row>2</xdr:row>
      <xdr:rowOff>171450</xdr:rowOff>
    </xdr:to>
    <xdr:sp macro="" textlink="">
      <xdr:nvSpPr>
        <xdr:cNvPr id="49" name="Rectangle 1">
          <a:extLst>
            <a:ext uri="{FF2B5EF4-FFF2-40B4-BE49-F238E27FC236}">
              <a16:creationId xmlns:a16="http://schemas.microsoft.com/office/drawing/2014/main" id="{449AA93F-52C6-4571-8FC7-E25A8A983F23}"/>
            </a:ext>
            <a:ext uri="{147F2762-F138-4A5C-976F-8EAC2B608ADB}">
              <a16:predDERef xmlns:a16="http://schemas.microsoft.com/office/drawing/2014/main" pred="{1CD2B922-F8FF-4CDF-B1A2-FDA2EC19BBD3}"/>
            </a:ext>
          </a:extLst>
        </xdr:cNvPr>
        <xdr:cNvSpPr/>
      </xdr:nvSpPr>
      <xdr:spPr>
        <a:xfrm>
          <a:off x="13325475" y="628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3</xdr:row>
      <xdr:rowOff>0</xdr:rowOff>
    </xdr:from>
    <xdr:to>
      <xdr:col>14</xdr:col>
      <xdr:colOff>190500</xdr:colOff>
      <xdr:row>3</xdr:row>
      <xdr:rowOff>171450</xdr:rowOff>
    </xdr:to>
    <xdr:sp macro="" textlink="">
      <xdr:nvSpPr>
        <xdr:cNvPr id="51" name="Rectangle 1">
          <a:extLst>
            <a:ext uri="{FF2B5EF4-FFF2-40B4-BE49-F238E27FC236}">
              <a16:creationId xmlns:a16="http://schemas.microsoft.com/office/drawing/2014/main" id="{1EFC50C0-5F7B-4024-B066-0A18542F76D1}"/>
            </a:ext>
            <a:ext uri="{147F2762-F138-4A5C-976F-8EAC2B608ADB}">
              <a16:predDERef xmlns:a16="http://schemas.microsoft.com/office/drawing/2014/main" pred="{449AA93F-52C6-4571-8FC7-E25A8A983F23}"/>
            </a:ext>
          </a:extLst>
        </xdr:cNvPr>
        <xdr:cNvSpPr/>
      </xdr:nvSpPr>
      <xdr:spPr>
        <a:xfrm>
          <a:off x="13325475" y="819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4</xdr:row>
      <xdr:rowOff>0</xdr:rowOff>
    </xdr:from>
    <xdr:to>
      <xdr:col>14</xdr:col>
      <xdr:colOff>190500</xdr:colOff>
      <xdr:row>4</xdr:row>
      <xdr:rowOff>171450</xdr:rowOff>
    </xdr:to>
    <xdr:sp macro="" textlink="">
      <xdr:nvSpPr>
        <xdr:cNvPr id="53" name="Rectangle 1">
          <a:extLst>
            <a:ext uri="{FF2B5EF4-FFF2-40B4-BE49-F238E27FC236}">
              <a16:creationId xmlns:a16="http://schemas.microsoft.com/office/drawing/2014/main" id="{160D5C0D-FD19-4F20-88D1-EC861C4E7654}"/>
            </a:ext>
            <a:ext uri="{147F2762-F138-4A5C-976F-8EAC2B608ADB}">
              <a16:predDERef xmlns:a16="http://schemas.microsoft.com/office/drawing/2014/main" pred="{1EFC50C0-5F7B-4024-B066-0A18542F76D1}"/>
            </a:ext>
          </a:extLst>
        </xdr:cNvPr>
        <xdr:cNvSpPr/>
      </xdr:nvSpPr>
      <xdr:spPr>
        <a:xfrm>
          <a:off x="13325475" y="1009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5</xdr:row>
      <xdr:rowOff>0</xdr:rowOff>
    </xdr:from>
    <xdr:to>
      <xdr:col>14</xdr:col>
      <xdr:colOff>190500</xdr:colOff>
      <xdr:row>5</xdr:row>
      <xdr:rowOff>171450</xdr:rowOff>
    </xdr:to>
    <xdr:sp macro="" textlink="">
      <xdr:nvSpPr>
        <xdr:cNvPr id="55" name="Rectangle 1">
          <a:extLst>
            <a:ext uri="{FF2B5EF4-FFF2-40B4-BE49-F238E27FC236}">
              <a16:creationId xmlns:a16="http://schemas.microsoft.com/office/drawing/2014/main" id="{AF7F080C-4234-47A6-B5ED-C2544CF702A9}"/>
            </a:ext>
            <a:ext uri="{147F2762-F138-4A5C-976F-8EAC2B608ADB}">
              <a16:predDERef xmlns:a16="http://schemas.microsoft.com/office/drawing/2014/main" pred="{160D5C0D-FD19-4F20-88D1-EC861C4E7654}"/>
            </a:ext>
          </a:extLst>
        </xdr:cNvPr>
        <xdr:cNvSpPr/>
      </xdr:nvSpPr>
      <xdr:spPr>
        <a:xfrm>
          <a:off x="13325475" y="1200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6</xdr:row>
      <xdr:rowOff>0</xdr:rowOff>
    </xdr:from>
    <xdr:to>
      <xdr:col>14</xdr:col>
      <xdr:colOff>190500</xdr:colOff>
      <xdr:row>6</xdr:row>
      <xdr:rowOff>171450</xdr:rowOff>
    </xdr:to>
    <xdr:sp macro="" textlink="">
      <xdr:nvSpPr>
        <xdr:cNvPr id="57" name="Rectangle 1">
          <a:extLst>
            <a:ext uri="{FF2B5EF4-FFF2-40B4-BE49-F238E27FC236}">
              <a16:creationId xmlns:a16="http://schemas.microsoft.com/office/drawing/2014/main" id="{01E99FFD-6830-4668-93F0-754697F53726}"/>
            </a:ext>
            <a:ext uri="{147F2762-F138-4A5C-976F-8EAC2B608ADB}">
              <a16:predDERef xmlns:a16="http://schemas.microsoft.com/office/drawing/2014/main" pred="{AF7F080C-4234-47A6-B5ED-C2544CF702A9}"/>
            </a:ext>
          </a:extLst>
        </xdr:cNvPr>
        <xdr:cNvSpPr/>
      </xdr:nvSpPr>
      <xdr:spPr>
        <a:xfrm>
          <a:off x="13325475" y="1390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7</xdr:row>
      <xdr:rowOff>0</xdr:rowOff>
    </xdr:from>
    <xdr:to>
      <xdr:col>14</xdr:col>
      <xdr:colOff>190500</xdr:colOff>
      <xdr:row>7</xdr:row>
      <xdr:rowOff>171450</xdr:rowOff>
    </xdr:to>
    <xdr:sp macro="" textlink="">
      <xdr:nvSpPr>
        <xdr:cNvPr id="59" name="Rectangle 1">
          <a:extLst>
            <a:ext uri="{FF2B5EF4-FFF2-40B4-BE49-F238E27FC236}">
              <a16:creationId xmlns:a16="http://schemas.microsoft.com/office/drawing/2014/main" id="{D98DF3CB-EE8F-455D-9ED9-007941365DE6}"/>
            </a:ext>
            <a:ext uri="{147F2762-F138-4A5C-976F-8EAC2B608ADB}">
              <a16:predDERef xmlns:a16="http://schemas.microsoft.com/office/drawing/2014/main" pred="{01E99FFD-6830-4668-93F0-754697F53726}"/>
            </a:ext>
          </a:extLst>
        </xdr:cNvPr>
        <xdr:cNvSpPr/>
      </xdr:nvSpPr>
      <xdr:spPr>
        <a:xfrm>
          <a:off x="13325475" y="1581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8</xdr:row>
      <xdr:rowOff>0</xdr:rowOff>
    </xdr:from>
    <xdr:to>
      <xdr:col>14</xdr:col>
      <xdr:colOff>190500</xdr:colOff>
      <xdr:row>8</xdr:row>
      <xdr:rowOff>171450</xdr:rowOff>
    </xdr:to>
    <xdr:sp macro="" textlink="">
      <xdr:nvSpPr>
        <xdr:cNvPr id="61" name="Rectangle 1">
          <a:extLst>
            <a:ext uri="{FF2B5EF4-FFF2-40B4-BE49-F238E27FC236}">
              <a16:creationId xmlns:a16="http://schemas.microsoft.com/office/drawing/2014/main" id="{E2EEC81F-A91B-46DC-99E2-D25442F0770D}"/>
            </a:ext>
            <a:ext uri="{147F2762-F138-4A5C-976F-8EAC2B608ADB}">
              <a16:predDERef xmlns:a16="http://schemas.microsoft.com/office/drawing/2014/main" pred="{D98DF3CB-EE8F-455D-9ED9-007941365DE6}"/>
            </a:ext>
          </a:extLst>
        </xdr:cNvPr>
        <xdr:cNvSpPr/>
      </xdr:nvSpPr>
      <xdr:spPr>
        <a:xfrm>
          <a:off x="13325475" y="1771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9</xdr:row>
      <xdr:rowOff>0</xdr:rowOff>
    </xdr:from>
    <xdr:to>
      <xdr:col>14</xdr:col>
      <xdr:colOff>190500</xdr:colOff>
      <xdr:row>9</xdr:row>
      <xdr:rowOff>171450</xdr:rowOff>
    </xdr:to>
    <xdr:sp macro="" textlink="">
      <xdr:nvSpPr>
        <xdr:cNvPr id="63" name="Rectangle 1">
          <a:extLst>
            <a:ext uri="{FF2B5EF4-FFF2-40B4-BE49-F238E27FC236}">
              <a16:creationId xmlns:a16="http://schemas.microsoft.com/office/drawing/2014/main" id="{7455CC17-181A-49E0-87BE-097811E2C880}"/>
            </a:ext>
            <a:ext uri="{147F2762-F138-4A5C-976F-8EAC2B608ADB}">
              <a16:predDERef xmlns:a16="http://schemas.microsoft.com/office/drawing/2014/main" pred="{E2EEC81F-A91B-46DC-99E2-D25442F0770D}"/>
            </a:ext>
          </a:extLst>
        </xdr:cNvPr>
        <xdr:cNvSpPr/>
      </xdr:nvSpPr>
      <xdr:spPr>
        <a:xfrm>
          <a:off x="13325475" y="1962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10</xdr:row>
      <xdr:rowOff>0</xdr:rowOff>
    </xdr:from>
    <xdr:to>
      <xdr:col>14</xdr:col>
      <xdr:colOff>190500</xdr:colOff>
      <xdr:row>10</xdr:row>
      <xdr:rowOff>171450</xdr:rowOff>
    </xdr:to>
    <xdr:sp macro="" textlink="">
      <xdr:nvSpPr>
        <xdr:cNvPr id="65" name="Rectangle 1">
          <a:extLst>
            <a:ext uri="{FF2B5EF4-FFF2-40B4-BE49-F238E27FC236}">
              <a16:creationId xmlns:a16="http://schemas.microsoft.com/office/drawing/2014/main" id="{573E90F7-4C31-41BD-AEF1-AD2A95F7976E}"/>
            </a:ext>
            <a:ext uri="{147F2762-F138-4A5C-976F-8EAC2B608ADB}">
              <a16:predDERef xmlns:a16="http://schemas.microsoft.com/office/drawing/2014/main" pred="{7455CC17-181A-49E0-87BE-097811E2C880}"/>
            </a:ext>
          </a:extLst>
        </xdr:cNvPr>
        <xdr:cNvSpPr/>
      </xdr:nvSpPr>
      <xdr:spPr>
        <a:xfrm>
          <a:off x="13325475" y="2152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11</xdr:row>
      <xdr:rowOff>0</xdr:rowOff>
    </xdr:from>
    <xdr:to>
      <xdr:col>14</xdr:col>
      <xdr:colOff>190500</xdr:colOff>
      <xdr:row>11</xdr:row>
      <xdr:rowOff>171450</xdr:rowOff>
    </xdr:to>
    <xdr:sp macro="" textlink="">
      <xdr:nvSpPr>
        <xdr:cNvPr id="67" name="Rectangle 1">
          <a:extLst>
            <a:ext uri="{FF2B5EF4-FFF2-40B4-BE49-F238E27FC236}">
              <a16:creationId xmlns:a16="http://schemas.microsoft.com/office/drawing/2014/main" id="{00D3A071-28D8-4A37-A4A7-FA4AD355F95E}"/>
            </a:ext>
            <a:ext uri="{147F2762-F138-4A5C-976F-8EAC2B608ADB}">
              <a16:predDERef xmlns:a16="http://schemas.microsoft.com/office/drawing/2014/main" pred="{573E90F7-4C31-41BD-AEF1-AD2A95F7976E}"/>
            </a:ext>
          </a:extLst>
        </xdr:cNvPr>
        <xdr:cNvSpPr/>
      </xdr:nvSpPr>
      <xdr:spPr>
        <a:xfrm>
          <a:off x="13325475" y="2343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1</xdr:row>
      <xdr:rowOff>0</xdr:rowOff>
    </xdr:from>
    <xdr:to>
      <xdr:col>4</xdr:col>
      <xdr:colOff>200025</xdr:colOff>
      <xdr:row>1</xdr:row>
      <xdr:rowOff>171450</xdr:rowOff>
    </xdr:to>
    <xdr:sp macro="" textlink="">
      <xdr:nvSpPr>
        <xdr:cNvPr id="69" name="Rectangle 7">
          <a:extLst>
            <a:ext uri="{FF2B5EF4-FFF2-40B4-BE49-F238E27FC236}">
              <a16:creationId xmlns:a16="http://schemas.microsoft.com/office/drawing/2014/main" id="{F3420241-A8B6-4894-BAC6-7651CE54D72F}"/>
            </a:ext>
            <a:ext uri="{147F2762-F138-4A5C-976F-8EAC2B608ADB}">
              <a16:predDERef xmlns:a16="http://schemas.microsoft.com/office/drawing/2014/main" pred="{00D3A071-28D8-4A37-A4A7-FA4AD355F95E}"/>
            </a:ext>
          </a:extLst>
        </xdr:cNvPr>
        <xdr:cNvSpPr/>
      </xdr:nvSpPr>
      <xdr:spPr>
        <a:xfrm>
          <a:off x="28575" y="438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171450</xdr:colOff>
      <xdr:row>2</xdr:row>
      <xdr:rowOff>171450</xdr:rowOff>
    </xdr:to>
    <xdr:sp macro="" textlink="">
      <xdr:nvSpPr>
        <xdr:cNvPr id="83" name="Rectangle 7">
          <a:extLst>
            <a:ext uri="{FF2B5EF4-FFF2-40B4-BE49-F238E27FC236}">
              <a16:creationId xmlns:a16="http://schemas.microsoft.com/office/drawing/2014/main" id="{06580493-E388-4B74-8400-0F7855E1BC02}"/>
            </a:ext>
            <a:ext uri="{147F2762-F138-4A5C-976F-8EAC2B608ADB}">
              <a16:predDERef xmlns:a16="http://schemas.microsoft.com/office/drawing/2014/main" pred="{F3420241-A8B6-4894-BAC6-7651CE54D72F}"/>
            </a:ext>
          </a:extLst>
        </xdr:cNvPr>
        <xdr:cNvSpPr/>
      </xdr:nvSpPr>
      <xdr:spPr>
        <a:xfrm>
          <a:off x="0" y="6191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171450</xdr:colOff>
      <xdr:row>3</xdr:row>
      <xdr:rowOff>171450</xdr:rowOff>
    </xdr:to>
    <xdr:sp macro="" textlink="">
      <xdr:nvSpPr>
        <xdr:cNvPr id="85" name="Rectangle 7">
          <a:extLst>
            <a:ext uri="{FF2B5EF4-FFF2-40B4-BE49-F238E27FC236}">
              <a16:creationId xmlns:a16="http://schemas.microsoft.com/office/drawing/2014/main" id="{449F80F8-8ED7-4586-9800-29A274F0CA67}"/>
            </a:ext>
            <a:ext uri="{147F2762-F138-4A5C-976F-8EAC2B608ADB}">
              <a16:predDERef xmlns:a16="http://schemas.microsoft.com/office/drawing/2014/main" pred="{06580493-E388-4B74-8400-0F7855E1BC02}"/>
            </a:ext>
          </a:extLst>
        </xdr:cNvPr>
        <xdr:cNvSpPr/>
      </xdr:nvSpPr>
      <xdr:spPr>
        <a:xfrm>
          <a:off x="0" y="8096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171450</xdr:colOff>
      <xdr:row>4</xdr:row>
      <xdr:rowOff>171450</xdr:rowOff>
    </xdr:to>
    <xdr:sp macro="" textlink="">
      <xdr:nvSpPr>
        <xdr:cNvPr id="87" name="Rectangle 7">
          <a:extLst>
            <a:ext uri="{FF2B5EF4-FFF2-40B4-BE49-F238E27FC236}">
              <a16:creationId xmlns:a16="http://schemas.microsoft.com/office/drawing/2014/main" id="{76048441-1AED-4493-A528-ACA6A0CE3660}"/>
            </a:ext>
            <a:ext uri="{147F2762-F138-4A5C-976F-8EAC2B608ADB}">
              <a16:predDERef xmlns:a16="http://schemas.microsoft.com/office/drawing/2014/main" pred="{449F80F8-8ED7-4586-9800-29A274F0CA67}"/>
            </a:ext>
          </a:extLst>
        </xdr:cNvPr>
        <xdr:cNvSpPr/>
      </xdr:nvSpPr>
      <xdr:spPr>
        <a:xfrm>
          <a:off x="0" y="10001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171450</xdr:colOff>
      <xdr:row>5</xdr:row>
      <xdr:rowOff>171450</xdr:rowOff>
    </xdr:to>
    <xdr:sp macro="" textlink="">
      <xdr:nvSpPr>
        <xdr:cNvPr id="89" name="Rectangle 7">
          <a:extLst>
            <a:ext uri="{FF2B5EF4-FFF2-40B4-BE49-F238E27FC236}">
              <a16:creationId xmlns:a16="http://schemas.microsoft.com/office/drawing/2014/main" id="{876D0405-6C88-46BF-B99D-CDB408E7C396}"/>
            </a:ext>
            <a:ext uri="{147F2762-F138-4A5C-976F-8EAC2B608ADB}">
              <a16:predDERef xmlns:a16="http://schemas.microsoft.com/office/drawing/2014/main" pred="{76048441-1AED-4493-A528-ACA6A0CE3660}"/>
            </a:ext>
          </a:extLst>
        </xdr:cNvPr>
        <xdr:cNvSpPr/>
      </xdr:nvSpPr>
      <xdr:spPr>
        <a:xfrm>
          <a:off x="0" y="11906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171450</xdr:colOff>
      <xdr:row>6</xdr:row>
      <xdr:rowOff>171450</xdr:rowOff>
    </xdr:to>
    <xdr:sp macro="" textlink="">
      <xdr:nvSpPr>
        <xdr:cNvPr id="91" name="Rectangle 7">
          <a:extLst>
            <a:ext uri="{FF2B5EF4-FFF2-40B4-BE49-F238E27FC236}">
              <a16:creationId xmlns:a16="http://schemas.microsoft.com/office/drawing/2014/main" id="{55F32AFE-6EC3-40E5-8555-1E7938FF044D}"/>
            </a:ext>
            <a:ext uri="{147F2762-F138-4A5C-976F-8EAC2B608ADB}">
              <a16:predDERef xmlns:a16="http://schemas.microsoft.com/office/drawing/2014/main" pred="{876D0405-6C88-46BF-B99D-CDB408E7C396}"/>
            </a:ext>
          </a:extLst>
        </xdr:cNvPr>
        <xdr:cNvSpPr/>
      </xdr:nvSpPr>
      <xdr:spPr>
        <a:xfrm>
          <a:off x="0" y="13811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4</xdr:col>
      <xdr:colOff>171450</xdr:colOff>
      <xdr:row>7</xdr:row>
      <xdr:rowOff>171450</xdr:rowOff>
    </xdr:to>
    <xdr:sp macro="" textlink="">
      <xdr:nvSpPr>
        <xdr:cNvPr id="93" name="Rectangle 7">
          <a:extLst>
            <a:ext uri="{FF2B5EF4-FFF2-40B4-BE49-F238E27FC236}">
              <a16:creationId xmlns:a16="http://schemas.microsoft.com/office/drawing/2014/main" id="{F61EC79C-5247-4BAD-A489-8AAB6CDADA98}"/>
            </a:ext>
            <a:ext uri="{147F2762-F138-4A5C-976F-8EAC2B608ADB}">
              <a16:predDERef xmlns:a16="http://schemas.microsoft.com/office/drawing/2014/main" pred="{55F32AFE-6EC3-40E5-8555-1E7938FF044D}"/>
            </a:ext>
          </a:extLst>
        </xdr:cNvPr>
        <xdr:cNvSpPr/>
      </xdr:nvSpPr>
      <xdr:spPr>
        <a:xfrm>
          <a:off x="0" y="15716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171450</xdr:colOff>
      <xdr:row>8</xdr:row>
      <xdr:rowOff>171450</xdr:rowOff>
    </xdr:to>
    <xdr:sp macro="" textlink="">
      <xdr:nvSpPr>
        <xdr:cNvPr id="95" name="Rectangle 7">
          <a:extLst>
            <a:ext uri="{FF2B5EF4-FFF2-40B4-BE49-F238E27FC236}">
              <a16:creationId xmlns:a16="http://schemas.microsoft.com/office/drawing/2014/main" id="{4F326242-6347-4774-84EE-4A2F6CB51C87}"/>
            </a:ext>
            <a:ext uri="{147F2762-F138-4A5C-976F-8EAC2B608ADB}">
              <a16:predDERef xmlns:a16="http://schemas.microsoft.com/office/drawing/2014/main" pred="{F61EC79C-5247-4BAD-A489-8AAB6CDADA98}"/>
            </a:ext>
          </a:extLst>
        </xdr:cNvPr>
        <xdr:cNvSpPr/>
      </xdr:nvSpPr>
      <xdr:spPr>
        <a:xfrm>
          <a:off x="0" y="17621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4</xdr:col>
      <xdr:colOff>171450</xdr:colOff>
      <xdr:row>9</xdr:row>
      <xdr:rowOff>171450</xdr:rowOff>
    </xdr:to>
    <xdr:sp macro="" textlink="">
      <xdr:nvSpPr>
        <xdr:cNvPr id="97" name="Rectangle 7">
          <a:extLst>
            <a:ext uri="{FF2B5EF4-FFF2-40B4-BE49-F238E27FC236}">
              <a16:creationId xmlns:a16="http://schemas.microsoft.com/office/drawing/2014/main" id="{5442B890-2472-4616-9427-EDCABFA114B3}"/>
            </a:ext>
            <a:ext uri="{147F2762-F138-4A5C-976F-8EAC2B608ADB}">
              <a16:predDERef xmlns:a16="http://schemas.microsoft.com/office/drawing/2014/main" pred="{4F326242-6347-4774-84EE-4A2F6CB51C87}"/>
            </a:ext>
          </a:extLst>
        </xdr:cNvPr>
        <xdr:cNvSpPr/>
      </xdr:nvSpPr>
      <xdr:spPr>
        <a:xfrm>
          <a:off x="0" y="19526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171450</xdr:colOff>
      <xdr:row>10</xdr:row>
      <xdr:rowOff>171450</xdr:rowOff>
    </xdr:to>
    <xdr:sp macro="" textlink="">
      <xdr:nvSpPr>
        <xdr:cNvPr id="99" name="Rectangle 7">
          <a:extLst>
            <a:ext uri="{FF2B5EF4-FFF2-40B4-BE49-F238E27FC236}">
              <a16:creationId xmlns:a16="http://schemas.microsoft.com/office/drawing/2014/main" id="{A2A959CF-ACE4-4037-A08F-7D2434F9AE3E}"/>
            </a:ext>
            <a:ext uri="{147F2762-F138-4A5C-976F-8EAC2B608ADB}">
              <a16:predDERef xmlns:a16="http://schemas.microsoft.com/office/drawing/2014/main" pred="{5442B890-2472-4616-9427-EDCABFA114B3}"/>
            </a:ext>
          </a:extLst>
        </xdr:cNvPr>
        <xdr:cNvSpPr/>
      </xdr:nvSpPr>
      <xdr:spPr>
        <a:xfrm>
          <a:off x="0" y="21431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12</xdr:row>
      <xdr:rowOff>0</xdr:rowOff>
    </xdr:from>
    <xdr:to>
      <xdr:col>11</xdr:col>
      <xdr:colOff>190500</xdr:colOff>
      <xdr:row>12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F86CC03-9A3B-412D-8E91-DF417086CCC7}"/>
            </a:ext>
            <a:ext uri="{147F2762-F138-4A5C-976F-8EAC2B608ADB}">
              <a16:predDERef xmlns:a16="http://schemas.microsoft.com/office/drawing/2014/main" pred="{EF9149E9-1766-4993-81E2-26ACAAD49825}"/>
            </a:ext>
          </a:extLst>
        </xdr:cNvPr>
        <xdr:cNvSpPr/>
      </xdr:nvSpPr>
      <xdr:spPr>
        <a:xfrm>
          <a:off x="5286375" y="2533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11</xdr:row>
      <xdr:rowOff>0</xdr:rowOff>
    </xdr:from>
    <xdr:to>
      <xdr:col>11</xdr:col>
      <xdr:colOff>190500</xdr:colOff>
      <xdr:row>11</xdr:row>
      <xdr:rowOff>171450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A08AF1-8DAF-4868-B4E5-92B89404604A}"/>
            </a:ext>
            <a:ext uri="{147F2762-F138-4A5C-976F-8EAC2B608ADB}">
              <a16:predDERef xmlns:a16="http://schemas.microsoft.com/office/drawing/2014/main" pred="{7F86CC03-9A3B-412D-8E91-DF417086CCC7}"/>
            </a:ext>
          </a:extLst>
        </xdr:cNvPr>
        <xdr:cNvSpPr/>
      </xdr:nvSpPr>
      <xdr:spPr>
        <a:xfrm>
          <a:off x="5286375" y="2343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19050</xdr:colOff>
      <xdr:row>13</xdr:row>
      <xdr:rowOff>0</xdr:rowOff>
    </xdr:from>
    <xdr:to>
      <xdr:col>11</xdr:col>
      <xdr:colOff>190500</xdr:colOff>
      <xdr:row>13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A27F80D-31E0-48A2-98BB-FC7F69088C09}"/>
            </a:ext>
            <a:ext uri="{147F2762-F138-4A5C-976F-8EAC2B608ADB}">
              <a16:predDERef xmlns:a16="http://schemas.microsoft.com/office/drawing/2014/main" pred="{EF9149E9-1766-4993-81E2-26ACAAD49825}"/>
            </a:ext>
          </a:extLst>
        </xdr:cNvPr>
        <xdr:cNvSpPr/>
      </xdr:nvSpPr>
      <xdr:spPr>
        <a:xfrm>
          <a:off x="5286375" y="2724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13</xdr:row>
      <xdr:rowOff>0</xdr:rowOff>
    </xdr:from>
    <xdr:to>
      <xdr:col>14</xdr:col>
      <xdr:colOff>190500</xdr:colOff>
      <xdr:row>13</xdr:row>
      <xdr:rowOff>171450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2886672-47EA-44A7-AAF1-4B0CF46BC5FC}"/>
            </a:ext>
            <a:ext uri="{147F2762-F138-4A5C-976F-8EAC2B608ADB}">
              <a16:predDERef xmlns:a16="http://schemas.microsoft.com/office/drawing/2014/main" pred="{BA27F80D-31E0-48A2-98BB-FC7F69088C09}"/>
            </a:ext>
          </a:extLst>
        </xdr:cNvPr>
        <xdr:cNvSpPr/>
      </xdr:nvSpPr>
      <xdr:spPr>
        <a:xfrm>
          <a:off x="13325475" y="2724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14</xdr:col>
      <xdr:colOff>19050</xdr:colOff>
      <xdr:row>12</xdr:row>
      <xdr:rowOff>0</xdr:rowOff>
    </xdr:from>
    <xdr:to>
      <xdr:col>14</xdr:col>
      <xdr:colOff>190500</xdr:colOff>
      <xdr:row>12</xdr:row>
      <xdr:rowOff>171450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E4C46F7-85A7-4B77-AB90-1252E6D26A13}"/>
            </a:ext>
            <a:ext uri="{147F2762-F138-4A5C-976F-8EAC2B608ADB}">
              <a16:predDERef xmlns:a16="http://schemas.microsoft.com/office/drawing/2014/main" pred="{82886672-47EA-44A7-AAF1-4B0CF46BC5FC}"/>
            </a:ext>
          </a:extLst>
        </xdr:cNvPr>
        <xdr:cNvSpPr/>
      </xdr:nvSpPr>
      <xdr:spPr>
        <a:xfrm>
          <a:off x="13325475" y="2533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2</xdr:row>
      <xdr:rowOff>0</xdr:rowOff>
    </xdr:from>
    <xdr:to>
      <xdr:col>4</xdr:col>
      <xdr:colOff>200025</xdr:colOff>
      <xdr:row>2</xdr:row>
      <xdr:rowOff>171450</xdr:rowOff>
    </xdr:to>
    <xdr:sp macro="" textlink="">
      <xdr:nvSpPr>
        <xdr:cNvPr id="10" name="Rectangle 7">
          <a:extLst>
            <a:ext uri="{FF2B5EF4-FFF2-40B4-BE49-F238E27FC236}">
              <a16:creationId xmlns:a16="http://schemas.microsoft.com/office/drawing/2014/main" id="{B98215A7-2B8B-410C-9FAF-C91C60489D7C}"/>
            </a:ext>
            <a:ext uri="{147F2762-F138-4A5C-976F-8EAC2B608ADB}">
              <a16:predDERef xmlns:a16="http://schemas.microsoft.com/office/drawing/2014/main" pred="{8E4C46F7-85A7-4B77-AB90-1252E6D26A13}"/>
            </a:ext>
          </a:extLst>
        </xdr:cNvPr>
        <xdr:cNvSpPr/>
      </xdr:nvSpPr>
      <xdr:spPr>
        <a:xfrm>
          <a:off x="28575" y="628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171450</xdr:colOff>
      <xdr:row>3</xdr:row>
      <xdr:rowOff>171450</xdr:rowOff>
    </xdr:to>
    <xdr:sp macro="" textlink="">
      <xdr:nvSpPr>
        <xdr:cNvPr id="11" name="Rectangle 7">
          <a:extLst>
            <a:ext uri="{FF2B5EF4-FFF2-40B4-BE49-F238E27FC236}">
              <a16:creationId xmlns:a16="http://schemas.microsoft.com/office/drawing/2014/main" id="{9D39460B-55E1-4FE9-B30D-AA8580ED41CC}"/>
            </a:ext>
            <a:ext uri="{147F2762-F138-4A5C-976F-8EAC2B608ADB}">
              <a16:predDERef xmlns:a16="http://schemas.microsoft.com/office/drawing/2014/main" pred="{B98215A7-2B8B-410C-9FAF-C91C60489D7C}"/>
            </a:ext>
          </a:extLst>
        </xdr:cNvPr>
        <xdr:cNvSpPr/>
      </xdr:nvSpPr>
      <xdr:spPr>
        <a:xfrm>
          <a:off x="0" y="438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3</xdr:row>
      <xdr:rowOff>0</xdr:rowOff>
    </xdr:from>
    <xdr:to>
      <xdr:col>4</xdr:col>
      <xdr:colOff>200025</xdr:colOff>
      <xdr:row>3</xdr:row>
      <xdr:rowOff>171450</xdr:rowOff>
    </xdr:to>
    <xdr:sp macro="" textlink="">
      <xdr:nvSpPr>
        <xdr:cNvPr id="12" name="Rectangle 7">
          <a:extLst>
            <a:ext uri="{FF2B5EF4-FFF2-40B4-BE49-F238E27FC236}">
              <a16:creationId xmlns:a16="http://schemas.microsoft.com/office/drawing/2014/main" id="{7251E515-5801-4FED-98A4-12DB87876A1E}"/>
            </a:ext>
            <a:ext uri="{147F2762-F138-4A5C-976F-8EAC2B608ADB}">
              <a16:predDERef xmlns:a16="http://schemas.microsoft.com/office/drawing/2014/main" pred="{9D39460B-55E1-4FE9-B30D-AA8580ED41CC}"/>
            </a:ext>
          </a:extLst>
        </xdr:cNvPr>
        <xdr:cNvSpPr/>
      </xdr:nvSpPr>
      <xdr:spPr>
        <a:xfrm>
          <a:off x="28575" y="819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4</xdr:row>
      <xdr:rowOff>0</xdr:rowOff>
    </xdr:from>
    <xdr:to>
      <xdr:col>4</xdr:col>
      <xdr:colOff>200025</xdr:colOff>
      <xdr:row>4</xdr:row>
      <xdr:rowOff>171450</xdr:rowOff>
    </xdr:to>
    <xdr:sp macro="" textlink="">
      <xdr:nvSpPr>
        <xdr:cNvPr id="13" name="Rectangle 7">
          <a:extLst>
            <a:ext uri="{FF2B5EF4-FFF2-40B4-BE49-F238E27FC236}">
              <a16:creationId xmlns:a16="http://schemas.microsoft.com/office/drawing/2014/main" id="{F1FF3403-34A6-4717-9262-1BA6B6F7F23A}"/>
            </a:ext>
            <a:ext uri="{147F2762-F138-4A5C-976F-8EAC2B608ADB}">
              <a16:predDERef xmlns:a16="http://schemas.microsoft.com/office/drawing/2014/main" pred="{7251E515-5801-4FED-98A4-12DB87876A1E}"/>
            </a:ext>
          </a:extLst>
        </xdr:cNvPr>
        <xdr:cNvSpPr/>
      </xdr:nvSpPr>
      <xdr:spPr>
        <a:xfrm>
          <a:off x="28575" y="1009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5</xdr:row>
      <xdr:rowOff>0</xdr:rowOff>
    </xdr:from>
    <xdr:to>
      <xdr:col>4</xdr:col>
      <xdr:colOff>200025</xdr:colOff>
      <xdr:row>5</xdr:row>
      <xdr:rowOff>171450</xdr:rowOff>
    </xdr:to>
    <xdr:sp macro="" textlink="">
      <xdr:nvSpPr>
        <xdr:cNvPr id="14" name="Rectangle 7">
          <a:extLst>
            <a:ext uri="{FF2B5EF4-FFF2-40B4-BE49-F238E27FC236}">
              <a16:creationId xmlns:a16="http://schemas.microsoft.com/office/drawing/2014/main" id="{960BD00A-D370-4FD1-B534-1A24CA2F6782}"/>
            </a:ext>
            <a:ext uri="{147F2762-F138-4A5C-976F-8EAC2B608ADB}">
              <a16:predDERef xmlns:a16="http://schemas.microsoft.com/office/drawing/2014/main" pred="{F1FF3403-34A6-4717-9262-1BA6B6F7F23A}"/>
            </a:ext>
          </a:extLst>
        </xdr:cNvPr>
        <xdr:cNvSpPr/>
      </xdr:nvSpPr>
      <xdr:spPr>
        <a:xfrm>
          <a:off x="28575" y="1200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6</xdr:row>
      <xdr:rowOff>0</xdr:rowOff>
    </xdr:from>
    <xdr:to>
      <xdr:col>4</xdr:col>
      <xdr:colOff>200025</xdr:colOff>
      <xdr:row>6</xdr:row>
      <xdr:rowOff>171450</xdr:rowOff>
    </xdr:to>
    <xdr:sp macro="" textlink="">
      <xdr:nvSpPr>
        <xdr:cNvPr id="15" name="Rectangle 7">
          <a:extLst>
            <a:ext uri="{FF2B5EF4-FFF2-40B4-BE49-F238E27FC236}">
              <a16:creationId xmlns:a16="http://schemas.microsoft.com/office/drawing/2014/main" id="{0E23CBB0-A553-431F-9472-C760A1F033CC}"/>
            </a:ext>
            <a:ext uri="{147F2762-F138-4A5C-976F-8EAC2B608ADB}">
              <a16:predDERef xmlns:a16="http://schemas.microsoft.com/office/drawing/2014/main" pred="{960BD00A-D370-4FD1-B534-1A24CA2F6782}"/>
            </a:ext>
          </a:extLst>
        </xdr:cNvPr>
        <xdr:cNvSpPr/>
      </xdr:nvSpPr>
      <xdr:spPr>
        <a:xfrm>
          <a:off x="28575" y="1390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7</xdr:row>
      <xdr:rowOff>0</xdr:rowOff>
    </xdr:from>
    <xdr:to>
      <xdr:col>4</xdr:col>
      <xdr:colOff>200025</xdr:colOff>
      <xdr:row>7</xdr:row>
      <xdr:rowOff>171450</xdr:rowOff>
    </xdr:to>
    <xdr:sp macro="" textlink="">
      <xdr:nvSpPr>
        <xdr:cNvPr id="16" name="Rectangle 7">
          <a:extLst>
            <a:ext uri="{FF2B5EF4-FFF2-40B4-BE49-F238E27FC236}">
              <a16:creationId xmlns:a16="http://schemas.microsoft.com/office/drawing/2014/main" id="{097AB992-9F9F-4ECA-B7C9-54DC7DB0A558}"/>
            </a:ext>
            <a:ext uri="{147F2762-F138-4A5C-976F-8EAC2B608ADB}">
              <a16:predDERef xmlns:a16="http://schemas.microsoft.com/office/drawing/2014/main" pred="{0E23CBB0-A553-431F-9472-C760A1F033CC}"/>
            </a:ext>
          </a:extLst>
        </xdr:cNvPr>
        <xdr:cNvSpPr/>
      </xdr:nvSpPr>
      <xdr:spPr>
        <a:xfrm>
          <a:off x="28575" y="1581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8</xdr:row>
      <xdr:rowOff>0</xdr:rowOff>
    </xdr:from>
    <xdr:to>
      <xdr:col>4</xdr:col>
      <xdr:colOff>200025</xdr:colOff>
      <xdr:row>8</xdr:row>
      <xdr:rowOff>171450</xdr:rowOff>
    </xdr:to>
    <xdr:sp macro="" textlink="">
      <xdr:nvSpPr>
        <xdr:cNvPr id="18" name="Rectangle 7">
          <a:extLst>
            <a:ext uri="{FF2B5EF4-FFF2-40B4-BE49-F238E27FC236}">
              <a16:creationId xmlns:a16="http://schemas.microsoft.com/office/drawing/2014/main" id="{67337713-836B-420F-A6A5-9ABACC7A9AF1}"/>
            </a:ext>
            <a:ext uri="{147F2762-F138-4A5C-976F-8EAC2B608ADB}">
              <a16:predDERef xmlns:a16="http://schemas.microsoft.com/office/drawing/2014/main" pred="{097AB992-9F9F-4ECA-B7C9-54DC7DB0A558}"/>
            </a:ext>
          </a:extLst>
        </xdr:cNvPr>
        <xdr:cNvSpPr/>
      </xdr:nvSpPr>
      <xdr:spPr>
        <a:xfrm>
          <a:off x="28575" y="1771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9</xdr:row>
      <xdr:rowOff>0</xdr:rowOff>
    </xdr:from>
    <xdr:to>
      <xdr:col>4</xdr:col>
      <xdr:colOff>200025</xdr:colOff>
      <xdr:row>9</xdr:row>
      <xdr:rowOff>171450</xdr:rowOff>
    </xdr:to>
    <xdr:sp macro="" textlink="">
      <xdr:nvSpPr>
        <xdr:cNvPr id="20" name="Rectangle 7">
          <a:extLst>
            <a:ext uri="{FF2B5EF4-FFF2-40B4-BE49-F238E27FC236}">
              <a16:creationId xmlns:a16="http://schemas.microsoft.com/office/drawing/2014/main" id="{85B84257-C4F5-4759-8EC5-5F9D3D97F194}"/>
            </a:ext>
            <a:ext uri="{147F2762-F138-4A5C-976F-8EAC2B608ADB}">
              <a16:predDERef xmlns:a16="http://schemas.microsoft.com/office/drawing/2014/main" pred="{67337713-836B-420F-A6A5-9ABACC7A9AF1}"/>
            </a:ext>
          </a:extLst>
        </xdr:cNvPr>
        <xdr:cNvSpPr/>
      </xdr:nvSpPr>
      <xdr:spPr>
        <a:xfrm>
          <a:off x="28575" y="1962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11</xdr:row>
      <xdr:rowOff>0</xdr:rowOff>
    </xdr:from>
    <xdr:to>
      <xdr:col>4</xdr:col>
      <xdr:colOff>200025</xdr:colOff>
      <xdr:row>11</xdr:row>
      <xdr:rowOff>171450</xdr:rowOff>
    </xdr:to>
    <xdr:sp macro="" textlink="">
      <xdr:nvSpPr>
        <xdr:cNvPr id="22" name="Rectangle 7">
          <a:extLst>
            <a:ext uri="{FF2B5EF4-FFF2-40B4-BE49-F238E27FC236}">
              <a16:creationId xmlns:a16="http://schemas.microsoft.com/office/drawing/2014/main" id="{219C092B-0E54-4CE2-B45A-CBD97D7D5E2F}"/>
            </a:ext>
            <a:ext uri="{147F2762-F138-4A5C-976F-8EAC2B608ADB}">
              <a16:predDERef xmlns:a16="http://schemas.microsoft.com/office/drawing/2014/main" pred="{85B84257-C4F5-4759-8EC5-5F9D3D97F194}"/>
            </a:ext>
          </a:extLst>
        </xdr:cNvPr>
        <xdr:cNvSpPr/>
      </xdr:nvSpPr>
      <xdr:spPr>
        <a:xfrm>
          <a:off x="28575" y="2343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10</xdr:row>
      <xdr:rowOff>0</xdr:rowOff>
    </xdr:from>
    <xdr:to>
      <xdr:col>4</xdr:col>
      <xdr:colOff>200025</xdr:colOff>
      <xdr:row>10</xdr:row>
      <xdr:rowOff>171450</xdr:rowOff>
    </xdr:to>
    <xdr:sp macro="" textlink="">
      <xdr:nvSpPr>
        <xdr:cNvPr id="24" name="Rectangle 7">
          <a:extLst>
            <a:ext uri="{FF2B5EF4-FFF2-40B4-BE49-F238E27FC236}">
              <a16:creationId xmlns:a16="http://schemas.microsoft.com/office/drawing/2014/main" id="{948B0875-312E-4367-93FA-521462FE2096}"/>
            </a:ext>
            <a:ext uri="{147F2762-F138-4A5C-976F-8EAC2B608ADB}">
              <a16:predDERef xmlns:a16="http://schemas.microsoft.com/office/drawing/2014/main" pred="{219C092B-0E54-4CE2-B45A-CBD97D7D5E2F}"/>
            </a:ext>
          </a:extLst>
        </xdr:cNvPr>
        <xdr:cNvSpPr/>
      </xdr:nvSpPr>
      <xdr:spPr>
        <a:xfrm>
          <a:off x="28575" y="2152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12</xdr:row>
      <xdr:rowOff>0</xdr:rowOff>
    </xdr:from>
    <xdr:to>
      <xdr:col>4</xdr:col>
      <xdr:colOff>200025</xdr:colOff>
      <xdr:row>12</xdr:row>
      <xdr:rowOff>171450</xdr:rowOff>
    </xdr:to>
    <xdr:sp macro="" textlink="">
      <xdr:nvSpPr>
        <xdr:cNvPr id="25" name="Rectangle 7">
          <a:extLst>
            <a:ext uri="{FF2B5EF4-FFF2-40B4-BE49-F238E27FC236}">
              <a16:creationId xmlns:a16="http://schemas.microsoft.com/office/drawing/2014/main" id="{1F5262C6-7FC6-44E6-982C-45C1DA6D68E3}"/>
            </a:ext>
            <a:ext uri="{147F2762-F138-4A5C-976F-8EAC2B608ADB}">
              <a16:predDERef xmlns:a16="http://schemas.microsoft.com/office/drawing/2014/main" pred="{948B0875-312E-4367-93FA-521462FE2096}"/>
            </a:ext>
          </a:extLst>
        </xdr:cNvPr>
        <xdr:cNvSpPr/>
      </xdr:nvSpPr>
      <xdr:spPr>
        <a:xfrm>
          <a:off x="28575" y="25336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28575</xdr:colOff>
      <xdr:row>13</xdr:row>
      <xdr:rowOff>0</xdr:rowOff>
    </xdr:from>
    <xdr:to>
      <xdr:col>4</xdr:col>
      <xdr:colOff>200025</xdr:colOff>
      <xdr:row>13</xdr:row>
      <xdr:rowOff>171450</xdr:rowOff>
    </xdr:to>
    <xdr:sp macro="" textlink="">
      <xdr:nvSpPr>
        <xdr:cNvPr id="26" name="Rectangle 7">
          <a:extLst>
            <a:ext uri="{FF2B5EF4-FFF2-40B4-BE49-F238E27FC236}">
              <a16:creationId xmlns:a16="http://schemas.microsoft.com/office/drawing/2014/main" id="{148C1042-9A7D-4CDD-8FA6-8715FADE0566}"/>
            </a:ext>
            <a:ext uri="{147F2762-F138-4A5C-976F-8EAC2B608ADB}">
              <a16:predDERef xmlns:a16="http://schemas.microsoft.com/office/drawing/2014/main" pred="{1F5262C6-7FC6-44E6-982C-45C1DA6D68E3}"/>
            </a:ext>
          </a:extLst>
        </xdr:cNvPr>
        <xdr:cNvSpPr/>
      </xdr:nvSpPr>
      <xdr:spPr>
        <a:xfrm>
          <a:off x="28575" y="2724150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1</xdr:row>
      <xdr:rowOff>0</xdr:rowOff>
    </xdr:from>
    <xdr:to>
      <xdr:col>17</xdr:col>
      <xdr:colOff>200025</xdr:colOff>
      <xdr:row>1</xdr:row>
      <xdr:rowOff>171450</xdr:rowOff>
    </xdr:to>
    <xdr:sp macro="" textlink="">
      <xdr:nvSpPr>
        <xdr:cNvPr id="271" name="Rectangle 7">
          <a:extLst>
            <a:ext uri="{FF2B5EF4-FFF2-40B4-BE49-F238E27FC236}">
              <a16:creationId xmlns:a16="http://schemas.microsoft.com/office/drawing/2014/main" id="{EAEE5BED-02C3-4FE5-907A-E3F190B1FFA4}"/>
            </a:ext>
            <a:ext uri="{147F2762-F138-4A5C-976F-8EAC2B608ADB}">
              <a16:predDERef xmlns:a16="http://schemas.microsoft.com/office/drawing/2014/main" pred="{90F5175B-5821-45D3-A1AB-E0C45671E46D}"/>
            </a:ext>
          </a:extLst>
        </xdr:cNvPr>
        <xdr:cNvSpPr/>
      </xdr:nvSpPr>
      <xdr:spPr>
        <a:xfrm>
          <a:off x="466725" y="200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2</xdr:row>
      <xdr:rowOff>0</xdr:rowOff>
    </xdr:from>
    <xdr:to>
      <xdr:col>17</xdr:col>
      <xdr:colOff>171450</xdr:colOff>
      <xdr:row>2</xdr:row>
      <xdr:rowOff>171450</xdr:rowOff>
    </xdr:to>
    <xdr:sp macro="" textlink="">
      <xdr:nvSpPr>
        <xdr:cNvPr id="272" name="Rectangle 7">
          <a:extLst>
            <a:ext uri="{FF2B5EF4-FFF2-40B4-BE49-F238E27FC236}">
              <a16:creationId xmlns:a16="http://schemas.microsoft.com/office/drawing/2014/main" id="{4A8B75B8-FB5F-4555-933C-31EDBFF98381}"/>
            </a:ext>
            <a:ext uri="{147F2762-F138-4A5C-976F-8EAC2B608ADB}">
              <a16:predDERef xmlns:a16="http://schemas.microsoft.com/office/drawing/2014/main" pred="{EAEE5BED-02C3-4FE5-907A-E3F190B1FFA4}"/>
            </a:ext>
          </a:extLst>
        </xdr:cNvPr>
        <xdr:cNvSpPr/>
      </xdr:nvSpPr>
      <xdr:spPr>
        <a:xfrm>
          <a:off x="438150" y="390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171450</xdr:colOff>
      <xdr:row>3</xdr:row>
      <xdr:rowOff>171450</xdr:rowOff>
    </xdr:to>
    <xdr:sp macro="" textlink="">
      <xdr:nvSpPr>
        <xdr:cNvPr id="273" name="Rectangle 7">
          <a:extLst>
            <a:ext uri="{FF2B5EF4-FFF2-40B4-BE49-F238E27FC236}">
              <a16:creationId xmlns:a16="http://schemas.microsoft.com/office/drawing/2014/main" id="{EA99290F-A142-4994-B8EA-9A9BCF7AFBFA}"/>
            </a:ext>
            <a:ext uri="{147F2762-F138-4A5C-976F-8EAC2B608ADB}">
              <a16:predDERef xmlns:a16="http://schemas.microsoft.com/office/drawing/2014/main" pred="{4A8B75B8-FB5F-4555-933C-31EDBFF98381}"/>
            </a:ext>
          </a:extLst>
        </xdr:cNvPr>
        <xdr:cNvSpPr/>
      </xdr:nvSpPr>
      <xdr:spPr>
        <a:xfrm>
          <a:off x="438150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17</xdr:col>
      <xdr:colOff>171450</xdr:colOff>
      <xdr:row>4</xdr:row>
      <xdr:rowOff>171450</xdr:rowOff>
    </xdr:to>
    <xdr:sp macro="" textlink="">
      <xdr:nvSpPr>
        <xdr:cNvPr id="274" name="Rectangle 7">
          <a:extLst>
            <a:ext uri="{FF2B5EF4-FFF2-40B4-BE49-F238E27FC236}">
              <a16:creationId xmlns:a16="http://schemas.microsoft.com/office/drawing/2014/main" id="{33055D5F-9CBB-4724-AC84-56F2A8EE79DB}"/>
            </a:ext>
            <a:ext uri="{147F2762-F138-4A5C-976F-8EAC2B608ADB}">
              <a16:predDERef xmlns:a16="http://schemas.microsoft.com/office/drawing/2014/main" pred="{EA99290F-A142-4994-B8EA-9A9BCF7AFBFA}"/>
            </a:ext>
          </a:extLst>
        </xdr:cNvPr>
        <xdr:cNvSpPr/>
      </xdr:nvSpPr>
      <xdr:spPr>
        <a:xfrm>
          <a:off x="438150" y="771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5</xdr:row>
      <xdr:rowOff>0</xdr:rowOff>
    </xdr:from>
    <xdr:to>
      <xdr:col>17</xdr:col>
      <xdr:colOff>171450</xdr:colOff>
      <xdr:row>5</xdr:row>
      <xdr:rowOff>171450</xdr:rowOff>
    </xdr:to>
    <xdr:sp macro="" textlink="">
      <xdr:nvSpPr>
        <xdr:cNvPr id="275" name="Rectangle 7">
          <a:extLst>
            <a:ext uri="{FF2B5EF4-FFF2-40B4-BE49-F238E27FC236}">
              <a16:creationId xmlns:a16="http://schemas.microsoft.com/office/drawing/2014/main" id="{2D0441D0-A1E3-47E4-A05A-F96F11261F56}"/>
            </a:ext>
            <a:ext uri="{147F2762-F138-4A5C-976F-8EAC2B608ADB}">
              <a16:predDERef xmlns:a16="http://schemas.microsoft.com/office/drawing/2014/main" pred="{33055D5F-9CBB-4724-AC84-56F2A8EE79DB}"/>
            </a:ext>
          </a:extLst>
        </xdr:cNvPr>
        <xdr:cNvSpPr/>
      </xdr:nvSpPr>
      <xdr:spPr>
        <a:xfrm>
          <a:off x="438150" y="962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6</xdr:row>
      <xdr:rowOff>0</xdr:rowOff>
    </xdr:from>
    <xdr:to>
      <xdr:col>17</xdr:col>
      <xdr:colOff>171450</xdr:colOff>
      <xdr:row>6</xdr:row>
      <xdr:rowOff>171450</xdr:rowOff>
    </xdr:to>
    <xdr:sp macro="" textlink="">
      <xdr:nvSpPr>
        <xdr:cNvPr id="276" name="Rectangle 7">
          <a:extLst>
            <a:ext uri="{FF2B5EF4-FFF2-40B4-BE49-F238E27FC236}">
              <a16:creationId xmlns:a16="http://schemas.microsoft.com/office/drawing/2014/main" id="{DC597889-E618-4D1B-BB47-93DEACB35EB6}"/>
            </a:ext>
            <a:ext uri="{147F2762-F138-4A5C-976F-8EAC2B608ADB}">
              <a16:predDERef xmlns:a16="http://schemas.microsoft.com/office/drawing/2014/main" pred="{2D0441D0-A1E3-47E4-A05A-F96F11261F56}"/>
            </a:ext>
          </a:extLst>
        </xdr:cNvPr>
        <xdr:cNvSpPr/>
      </xdr:nvSpPr>
      <xdr:spPr>
        <a:xfrm>
          <a:off x="438150" y="1152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7</xdr:row>
      <xdr:rowOff>0</xdr:rowOff>
    </xdr:from>
    <xdr:to>
      <xdr:col>17</xdr:col>
      <xdr:colOff>171450</xdr:colOff>
      <xdr:row>7</xdr:row>
      <xdr:rowOff>171450</xdr:rowOff>
    </xdr:to>
    <xdr:sp macro="" textlink="">
      <xdr:nvSpPr>
        <xdr:cNvPr id="277" name="Rectangle 7">
          <a:extLst>
            <a:ext uri="{FF2B5EF4-FFF2-40B4-BE49-F238E27FC236}">
              <a16:creationId xmlns:a16="http://schemas.microsoft.com/office/drawing/2014/main" id="{1551FE67-D488-4347-B8AC-4E3DB1404E71}"/>
            </a:ext>
            <a:ext uri="{147F2762-F138-4A5C-976F-8EAC2B608ADB}">
              <a16:predDERef xmlns:a16="http://schemas.microsoft.com/office/drawing/2014/main" pred="{DC597889-E618-4D1B-BB47-93DEACB35EB6}"/>
            </a:ext>
          </a:extLst>
        </xdr:cNvPr>
        <xdr:cNvSpPr/>
      </xdr:nvSpPr>
      <xdr:spPr>
        <a:xfrm>
          <a:off x="438150" y="1343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8</xdr:row>
      <xdr:rowOff>0</xdr:rowOff>
    </xdr:from>
    <xdr:to>
      <xdr:col>17</xdr:col>
      <xdr:colOff>171450</xdr:colOff>
      <xdr:row>8</xdr:row>
      <xdr:rowOff>171450</xdr:rowOff>
    </xdr:to>
    <xdr:sp macro="" textlink="">
      <xdr:nvSpPr>
        <xdr:cNvPr id="278" name="Rectangle 7">
          <a:extLst>
            <a:ext uri="{FF2B5EF4-FFF2-40B4-BE49-F238E27FC236}">
              <a16:creationId xmlns:a16="http://schemas.microsoft.com/office/drawing/2014/main" id="{0E15F5FA-91A8-4EF7-9ABC-6860768B7F0B}"/>
            </a:ext>
            <a:ext uri="{147F2762-F138-4A5C-976F-8EAC2B608ADB}">
              <a16:predDERef xmlns:a16="http://schemas.microsoft.com/office/drawing/2014/main" pred="{1551FE67-D488-4347-B8AC-4E3DB1404E71}"/>
            </a:ext>
          </a:extLst>
        </xdr:cNvPr>
        <xdr:cNvSpPr/>
      </xdr:nvSpPr>
      <xdr:spPr>
        <a:xfrm>
          <a:off x="438150" y="1533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9</xdr:row>
      <xdr:rowOff>0</xdr:rowOff>
    </xdr:from>
    <xdr:to>
      <xdr:col>17</xdr:col>
      <xdr:colOff>171450</xdr:colOff>
      <xdr:row>9</xdr:row>
      <xdr:rowOff>171450</xdr:rowOff>
    </xdr:to>
    <xdr:sp macro="" textlink="">
      <xdr:nvSpPr>
        <xdr:cNvPr id="279" name="Rectangle 7">
          <a:extLst>
            <a:ext uri="{FF2B5EF4-FFF2-40B4-BE49-F238E27FC236}">
              <a16:creationId xmlns:a16="http://schemas.microsoft.com/office/drawing/2014/main" id="{99BA2075-F020-4F7B-8EEE-315F02B53629}"/>
            </a:ext>
            <a:ext uri="{147F2762-F138-4A5C-976F-8EAC2B608ADB}">
              <a16:predDERef xmlns:a16="http://schemas.microsoft.com/office/drawing/2014/main" pred="{0E15F5FA-91A8-4EF7-9ABC-6860768B7F0B}"/>
            </a:ext>
          </a:extLst>
        </xdr:cNvPr>
        <xdr:cNvSpPr/>
      </xdr:nvSpPr>
      <xdr:spPr>
        <a:xfrm>
          <a:off x="438150" y="1724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171450</xdr:colOff>
      <xdr:row>10</xdr:row>
      <xdr:rowOff>171450</xdr:rowOff>
    </xdr:to>
    <xdr:sp macro="" textlink="">
      <xdr:nvSpPr>
        <xdr:cNvPr id="280" name="Rectangle 7">
          <a:extLst>
            <a:ext uri="{FF2B5EF4-FFF2-40B4-BE49-F238E27FC236}">
              <a16:creationId xmlns:a16="http://schemas.microsoft.com/office/drawing/2014/main" id="{9A98BBCE-A636-4E21-B792-CE94C7562FFB}"/>
            </a:ext>
            <a:ext uri="{147F2762-F138-4A5C-976F-8EAC2B608ADB}">
              <a16:predDERef xmlns:a16="http://schemas.microsoft.com/office/drawing/2014/main" pred="{99BA2075-F020-4F7B-8EEE-315F02B53629}"/>
            </a:ext>
          </a:extLst>
        </xdr:cNvPr>
        <xdr:cNvSpPr/>
      </xdr:nvSpPr>
      <xdr:spPr>
        <a:xfrm>
          <a:off x="438150" y="1914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2</xdr:row>
      <xdr:rowOff>0</xdr:rowOff>
    </xdr:from>
    <xdr:to>
      <xdr:col>17</xdr:col>
      <xdr:colOff>200025</xdr:colOff>
      <xdr:row>2</xdr:row>
      <xdr:rowOff>171450</xdr:rowOff>
    </xdr:to>
    <xdr:sp macro="" textlink="">
      <xdr:nvSpPr>
        <xdr:cNvPr id="286" name="Rectangle 7">
          <a:extLst>
            <a:ext uri="{FF2B5EF4-FFF2-40B4-BE49-F238E27FC236}">
              <a16:creationId xmlns:a16="http://schemas.microsoft.com/office/drawing/2014/main" id="{E368ADAE-3629-49CF-A18E-1871056E6FA3}"/>
            </a:ext>
            <a:ext uri="{147F2762-F138-4A5C-976F-8EAC2B608ADB}">
              <a16:predDERef xmlns:a16="http://schemas.microsoft.com/office/drawing/2014/main" pred="{1A85C4AA-3F1D-4CBE-B42E-96C3B99BBFDA}"/>
            </a:ext>
          </a:extLst>
        </xdr:cNvPr>
        <xdr:cNvSpPr/>
      </xdr:nvSpPr>
      <xdr:spPr>
        <a:xfrm>
          <a:off x="466725" y="390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0</xdr:colOff>
      <xdr:row>3</xdr:row>
      <xdr:rowOff>0</xdr:rowOff>
    </xdr:from>
    <xdr:to>
      <xdr:col>17</xdr:col>
      <xdr:colOff>171450</xdr:colOff>
      <xdr:row>3</xdr:row>
      <xdr:rowOff>171450</xdr:rowOff>
    </xdr:to>
    <xdr:sp macro="" textlink="">
      <xdr:nvSpPr>
        <xdr:cNvPr id="287" name="Rectangle 7">
          <a:extLst>
            <a:ext uri="{FF2B5EF4-FFF2-40B4-BE49-F238E27FC236}">
              <a16:creationId xmlns:a16="http://schemas.microsoft.com/office/drawing/2014/main" id="{985F5F64-C804-41B6-9C6F-7A2A3175BB96}"/>
            </a:ext>
            <a:ext uri="{147F2762-F138-4A5C-976F-8EAC2B608ADB}">
              <a16:predDERef xmlns:a16="http://schemas.microsoft.com/office/drawing/2014/main" pred="{E368ADAE-3629-49CF-A18E-1871056E6FA3}"/>
            </a:ext>
          </a:extLst>
        </xdr:cNvPr>
        <xdr:cNvSpPr/>
      </xdr:nvSpPr>
      <xdr:spPr>
        <a:xfrm>
          <a:off x="438150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3</xdr:row>
      <xdr:rowOff>0</xdr:rowOff>
    </xdr:from>
    <xdr:to>
      <xdr:col>17</xdr:col>
      <xdr:colOff>200025</xdr:colOff>
      <xdr:row>3</xdr:row>
      <xdr:rowOff>171450</xdr:rowOff>
    </xdr:to>
    <xdr:sp macro="" textlink="">
      <xdr:nvSpPr>
        <xdr:cNvPr id="288" name="Rectangle 7">
          <a:extLst>
            <a:ext uri="{FF2B5EF4-FFF2-40B4-BE49-F238E27FC236}">
              <a16:creationId xmlns:a16="http://schemas.microsoft.com/office/drawing/2014/main" id="{C693021A-5CE2-468D-8214-C7C294FAFB98}"/>
            </a:ext>
            <a:ext uri="{147F2762-F138-4A5C-976F-8EAC2B608ADB}">
              <a16:predDERef xmlns:a16="http://schemas.microsoft.com/office/drawing/2014/main" pred="{985F5F64-C804-41B6-9C6F-7A2A3175BB96}"/>
            </a:ext>
          </a:extLst>
        </xdr:cNvPr>
        <xdr:cNvSpPr/>
      </xdr:nvSpPr>
      <xdr:spPr>
        <a:xfrm>
          <a:off x="466725" y="581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4</xdr:row>
      <xdr:rowOff>0</xdr:rowOff>
    </xdr:from>
    <xdr:to>
      <xdr:col>17</xdr:col>
      <xdr:colOff>200025</xdr:colOff>
      <xdr:row>4</xdr:row>
      <xdr:rowOff>171450</xdr:rowOff>
    </xdr:to>
    <xdr:sp macro="" textlink="">
      <xdr:nvSpPr>
        <xdr:cNvPr id="289" name="Rectangle 7">
          <a:extLst>
            <a:ext uri="{FF2B5EF4-FFF2-40B4-BE49-F238E27FC236}">
              <a16:creationId xmlns:a16="http://schemas.microsoft.com/office/drawing/2014/main" id="{599C5A02-29F2-471E-94A3-88F50EA33024}"/>
            </a:ext>
            <a:ext uri="{147F2762-F138-4A5C-976F-8EAC2B608ADB}">
              <a16:predDERef xmlns:a16="http://schemas.microsoft.com/office/drawing/2014/main" pred="{C693021A-5CE2-468D-8214-C7C294FAFB98}"/>
            </a:ext>
          </a:extLst>
        </xdr:cNvPr>
        <xdr:cNvSpPr/>
      </xdr:nvSpPr>
      <xdr:spPr>
        <a:xfrm>
          <a:off x="466725" y="771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5</xdr:row>
      <xdr:rowOff>0</xdr:rowOff>
    </xdr:from>
    <xdr:to>
      <xdr:col>17</xdr:col>
      <xdr:colOff>200025</xdr:colOff>
      <xdr:row>5</xdr:row>
      <xdr:rowOff>171450</xdr:rowOff>
    </xdr:to>
    <xdr:sp macro="" textlink="">
      <xdr:nvSpPr>
        <xdr:cNvPr id="290" name="Rectangle 7">
          <a:extLst>
            <a:ext uri="{FF2B5EF4-FFF2-40B4-BE49-F238E27FC236}">
              <a16:creationId xmlns:a16="http://schemas.microsoft.com/office/drawing/2014/main" id="{2BD01F8E-017E-4BAD-B4BD-FC0F514F4924}"/>
            </a:ext>
            <a:ext uri="{147F2762-F138-4A5C-976F-8EAC2B608ADB}">
              <a16:predDERef xmlns:a16="http://schemas.microsoft.com/office/drawing/2014/main" pred="{599C5A02-29F2-471E-94A3-88F50EA33024}"/>
            </a:ext>
          </a:extLst>
        </xdr:cNvPr>
        <xdr:cNvSpPr/>
      </xdr:nvSpPr>
      <xdr:spPr>
        <a:xfrm>
          <a:off x="466725" y="962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6</xdr:row>
      <xdr:rowOff>0</xdr:rowOff>
    </xdr:from>
    <xdr:to>
      <xdr:col>17</xdr:col>
      <xdr:colOff>200025</xdr:colOff>
      <xdr:row>6</xdr:row>
      <xdr:rowOff>171450</xdr:rowOff>
    </xdr:to>
    <xdr:sp macro="" textlink="">
      <xdr:nvSpPr>
        <xdr:cNvPr id="291" name="Rectangle 7">
          <a:extLst>
            <a:ext uri="{FF2B5EF4-FFF2-40B4-BE49-F238E27FC236}">
              <a16:creationId xmlns:a16="http://schemas.microsoft.com/office/drawing/2014/main" id="{2F56621F-8855-4DCB-97BB-3396547F1CA0}"/>
            </a:ext>
            <a:ext uri="{147F2762-F138-4A5C-976F-8EAC2B608ADB}">
              <a16:predDERef xmlns:a16="http://schemas.microsoft.com/office/drawing/2014/main" pred="{2BD01F8E-017E-4BAD-B4BD-FC0F514F4924}"/>
            </a:ext>
          </a:extLst>
        </xdr:cNvPr>
        <xdr:cNvSpPr/>
      </xdr:nvSpPr>
      <xdr:spPr>
        <a:xfrm>
          <a:off x="466725" y="1152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7</xdr:row>
      <xdr:rowOff>0</xdr:rowOff>
    </xdr:from>
    <xdr:to>
      <xdr:col>17</xdr:col>
      <xdr:colOff>200025</xdr:colOff>
      <xdr:row>7</xdr:row>
      <xdr:rowOff>171450</xdr:rowOff>
    </xdr:to>
    <xdr:sp macro="" textlink="">
      <xdr:nvSpPr>
        <xdr:cNvPr id="292" name="Rectangle 7">
          <a:extLst>
            <a:ext uri="{FF2B5EF4-FFF2-40B4-BE49-F238E27FC236}">
              <a16:creationId xmlns:a16="http://schemas.microsoft.com/office/drawing/2014/main" id="{B2F1ACF6-5018-4E56-9BAE-4A00A5D61640}"/>
            </a:ext>
            <a:ext uri="{147F2762-F138-4A5C-976F-8EAC2B608ADB}">
              <a16:predDERef xmlns:a16="http://schemas.microsoft.com/office/drawing/2014/main" pred="{2F56621F-8855-4DCB-97BB-3396547F1CA0}"/>
            </a:ext>
          </a:extLst>
        </xdr:cNvPr>
        <xdr:cNvSpPr/>
      </xdr:nvSpPr>
      <xdr:spPr>
        <a:xfrm>
          <a:off x="466725" y="1343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8</xdr:row>
      <xdr:rowOff>0</xdr:rowOff>
    </xdr:from>
    <xdr:to>
      <xdr:col>17</xdr:col>
      <xdr:colOff>200025</xdr:colOff>
      <xdr:row>8</xdr:row>
      <xdr:rowOff>171450</xdr:rowOff>
    </xdr:to>
    <xdr:sp macro="" textlink="">
      <xdr:nvSpPr>
        <xdr:cNvPr id="293" name="Rectangle 7">
          <a:extLst>
            <a:ext uri="{FF2B5EF4-FFF2-40B4-BE49-F238E27FC236}">
              <a16:creationId xmlns:a16="http://schemas.microsoft.com/office/drawing/2014/main" id="{637F631C-51BE-4E75-8A8A-5BBA68B38C86}"/>
            </a:ext>
            <a:ext uri="{147F2762-F138-4A5C-976F-8EAC2B608ADB}">
              <a16:predDERef xmlns:a16="http://schemas.microsoft.com/office/drawing/2014/main" pred="{B2F1ACF6-5018-4E56-9BAE-4A00A5D61640}"/>
            </a:ext>
          </a:extLst>
        </xdr:cNvPr>
        <xdr:cNvSpPr/>
      </xdr:nvSpPr>
      <xdr:spPr>
        <a:xfrm>
          <a:off x="466725" y="1533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9</xdr:row>
      <xdr:rowOff>0</xdr:rowOff>
    </xdr:from>
    <xdr:to>
      <xdr:col>17</xdr:col>
      <xdr:colOff>200025</xdr:colOff>
      <xdr:row>9</xdr:row>
      <xdr:rowOff>171450</xdr:rowOff>
    </xdr:to>
    <xdr:sp macro="" textlink="">
      <xdr:nvSpPr>
        <xdr:cNvPr id="294" name="Rectangle 7">
          <a:extLst>
            <a:ext uri="{FF2B5EF4-FFF2-40B4-BE49-F238E27FC236}">
              <a16:creationId xmlns:a16="http://schemas.microsoft.com/office/drawing/2014/main" id="{0E666D9F-0B60-4398-B249-E908EDC959DD}"/>
            </a:ext>
            <a:ext uri="{147F2762-F138-4A5C-976F-8EAC2B608ADB}">
              <a16:predDERef xmlns:a16="http://schemas.microsoft.com/office/drawing/2014/main" pred="{637F631C-51BE-4E75-8A8A-5BBA68B38C86}"/>
            </a:ext>
          </a:extLst>
        </xdr:cNvPr>
        <xdr:cNvSpPr/>
      </xdr:nvSpPr>
      <xdr:spPr>
        <a:xfrm>
          <a:off x="466725" y="1724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11</xdr:row>
      <xdr:rowOff>0</xdr:rowOff>
    </xdr:from>
    <xdr:to>
      <xdr:col>17</xdr:col>
      <xdr:colOff>200025</xdr:colOff>
      <xdr:row>11</xdr:row>
      <xdr:rowOff>171450</xdr:rowOff>
    </xdr:to>
    <xdr:sp macro="" textlink="">
      <xdr:nvSpPr>
        <xdr:cNvPr id="295" name="Rectangle 7">
          <a:extLst>
            <a:ext uri="{FF2B5EF4-FFF2-40B4-BE49-F238E27FC236}">
              <a16:creationId xmlns:a16="http://schemas.microsoft.com/office/drawing/2014/main" id="{2538C7C9-E3D3-468F-9F76-81643810E857}"/>
            </a:ext>
            <a:ext uri="{147F2762-F138-4A5C-976F-8EAC2B608ADB}">
              <a16:predDERef xmlns:a16="http://schemas.microsoft.com/office/drawing/2014/main" pred="{0E666D9F-0B60-4398-B249-E908EDC959DD}"/>
            </a:ext>
          </a:extLst>
        </xdr:cNvPr>
        <xdr:cNvSpPr/>
      </xdr:nvSpPr>
      <xdr:spPr>
        <a:xfrm>
          <a:off x="466725" y="2105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10</xdr:row>
      <xdr:rowOff>0</xdr:rowOff>
    </xdr:from>
    <xdr:to>
      <xdr:col>17</xdr:col>
      <xdr:colOff>200025</xdr:colOff>
      <xdr:row>10</xdr:row>
      <xdr:rowOff>171450</xdr:rowOff>
    </xdr:to>
    <xdr:sp macro="" textlink="">
      <xdr:nvSpPr>
        <xdr:cNvPr id="296" name="Rectangle 7">
          <a:extLst>
            <a:ext uri="{FF2B5EF4-FFF2-40B4-BE49-F238E27FC236}">
              <a16:creationId xmlns:a16="http://schemas.microsoft.com/office/drawing/2014/main" id="{5C72F3DF-BCF4-444D-A6E7-80B93AA6FC1C}"/>
            </a:ext>
            <a:ext uri="{147F2762-F138-4A5C-976F-8EAC2B608ADB}">
              <a16:predDERef xmlns:a16="http://schemas.microsoft.com/office/drawing/2014/main" pred="{2538C7C9-E3D3-468F-9F76-81643810E857}"/>
            </a:ext>
          </a:extLst>
        </xdr:cNvPr>
        <xdr:cNvSpPr/>
      </xdr:nvSpPr>
      <xdr:spPr>
        <a:xfrm>
          <a:off x="466725" y="1914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12</xdr:row>
      <xdr:rowOff>0</xdr:rowOff>
    </xdr:from>
    <xdr:to>
      <xdr:col>17</xdr:col>
      <xdr:colOff>200025</xdr:colOff>
      <xdr:row>12</xdr:row>
      <xdr:rowOff>171450</xdr:rowOff>
    </xdr:to>
    <xdr:sp macro="" textlink="">
      <xdr:nvSpPr>
        <xdr:cNvPr id="297" name="Rectangle 7">
          <a:extLst>
            <a:ext uri="{FF2B5EF4-FFF2-40B4-BE49-F238E27FC236}">
              <a16:creationId xmlns:a16="http://schemas.microsoft.com/office/drawing/2014/main" id="{1F46EB7E-2CAB-4DF7-BD1A-297069BC2CEC}"/>
            </a:ext>
            <a:ext uri="{147F2762-F138-4A5C-976F-8EAC2B608ADB}">
              <a16:predDERef xmlns:a16="http://schemas.microsoft.com/office/drawing/2014/main" pred="{5C72F3DF-BCF4-444D-A6E7-80B93AA6FC1C}"/>
            </a:ext>
          </a:extLst>
        </xdr:cNvPr>
        <xdr:cNvSpPr/>
      </xdr:nvSpPr>
      <xdr:spPr>
        <a:xfrm>
          <a:off x="466725" y="22955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17</xdr:col>
      <xdr:colOff>28575</xdr:colOff>
      <xdr:row>13</xdr:row>
      <xdr:rowOff>0</xdr:rowOff>
    </xdr:from>
    <xdr:to>
      <xdr:col>17</xdr:col>
      <xdr:colOff>200025</xdr:colOff>
      <xdr:row>13</xdr:row>
      <xdr:rowOff>171450</xdr:rowOff>
    </xdr:to>
    <xdr:sp macro="" textlink="">
      <xdr:nvSpPr>
        <xdr:cNvPr id="298" name="Rectangle 7">
          <a:extLst>
            <a:ext uri="{FF2B5EF4-FFF2-40B4-BE49-F238E27FC236}">
              <a16:creationId xmlns:a16="http://schemas.microsoft.com/office/drawing/2014/main" id="{1E009D00-C210-42B5-B026-0D15ED01B723}"/>
            </a:ext>
            <a:ext uri="{147F2762-F138-4A5C-976F-8EAC2B608ADB}">
              <a16:predDERef xmlns:a16="http://schemas.microsoft.com/office/drawing/2014/main" pred="{1F46EB7E-2CAB-4DF7-BD1A-297069BC2CEC}"/>
            </a:ext>
          </a:extLst>
        </xdr:cNvPr>
        <xdr:cNvSpPr/>
      </xdr:nvSpPr>
      <xdr:spPr>
        <a:xfrm>
          <a:off x="466725" y="2486025"/>
          <a:ext cx="171450" cy="171450"/>
        </a:xfrm>
        <a:prstGeom prst="rect">
          <a:avLst/>
        </a:prstGeom>
        <a:solidFill>
          <a:schemeClr val="bg1"/>
        </a:solidFill>
        <a:ln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2D7A24-14B8-4649-99D2-2561DC03426F}">
  <we:reference id="wa104199815" version="1.0.0.1" store="en-US" storeType="omex"/>
  <we:alternateReferences>
    <we:reference id="wa104199815" version="1.0.0.1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C719-8E07-4BFC-BA68-23DF8A355DC2}">
  <dimension ref="A1:AG126"/>
  <sheetViews>
    <sheetView workbookViewId="0">
      <selection activeCell="E40" sqref="E40:H40"/>
    </sheetView>
  </sheetViews>
  <sheetFormatPr defaultColWidth="0" defaultRowHeight="15" x14ac:dyDescent="0.2"/>
  <cols>
    <col min="1" max="1" width="8.7421875" style="417" customWidth="1"/>
    <col min="2" max="3" width="8.7421875" customWidth="1"/>
    <col min="4" max="9" width="9.14453125" customWidth="1"/>
    <col min="10" max="10" width="10.35546875" customWidth="1"/>
    <col min="11" max="11" width="9.14453125" customWidth="1"/>
    <col min="12" max="12" width="9.14453125" style="422" customWidth="1"/>
    <col min="13" max="33" width="9.14453125"/>
  </cols>
  <sheetData>
    <row r="1" spans="1:33" ht="15" customHeight="1" x14ac:dyDescent="0.2">
      <c r="A1" s="453"/>
      <c r="C1" s="523" t="s">
        <v>0</v>
      </c>
      <c r="D1" s="523"/>
      <c r="E1" s="523"/>
      <c r="F1" s="523"/>
      <c r="G1" s="523"/>
      <c r="H1" s="523"/>
      <c r="I1" s="523"/>
      <c r="J1" s="523"/>
      <c r="K1" s="524" t="s">
        <v>1</v>
      </c>
      <c r="L1" s="525"/>
      <c r="M1" s="398"/>
      <c r="N1" s="398"/>
      <c r="O1" s="398"/>
      <c r="P1" s="398"/>
      <c r="Q1" s="398"/>
      <c r="R1" s="398"/>
    </row>
    <row r="2" spans="1:33" ht="15" customHeight="1" x14ac:dyDescent="0.2">
      <c r="A2" s="453"/>
      <c r="B2" s="328"/>
      <c r="C2" s="523"/>
      <c r="D2" s="523"/>
      <c r="E2" s="523"/>
      <c r="F2" s="523"/>
      <c r="G2" s="523"/>
      <c r="H2" s="523"/>
      <c r="I2" s="523"/>
      <c r="J2" s="523"/>
      <c r="K2" s="524"/>
      <c r="L2" s="525"/>
      <c r="M2" s="398"/>
      <c r="N2" s="398"/>
      <c r="O2" s="398"/>
      <c r="P2" s="398"/>
      <c r="Q2" s="398"/>
      <c r="R2" s="398"/>
    </row>
    <row r="3" spans="1:33" ht="15" customHeight="1" x14ac:dyDescent="0.2">
      <c r="A3" s="453"/>
      <c r="B3" s="399"/>
      <c r="C3" s="523"/>
      <c r="D3" s="523"/>
      <c r="E3" s="523"/>
      <c r="F3" s="523"/>
      <c r="G3" s="523"/>
      <c r="H3" s="523"/>
      <c r="I3" s="523"/>
      <c r="J3" s="523"/>
      <c r="K3" s="524"/>
      <c r="L3" s="525"/>
      <c r="M3" s="398"/>
      <c r="N3" s="398"/>
      <c r="O3" s="398"/>
      <c r="P3" s="398"/>
      <c r="Q3" s="398"/>
      <c r="R3" s="398"/>
    </row>
    <row r="4" spans="1:33" ht="15" customHeight="1" x14ac:dyDescent="0.2">
      <c r="A4" s="453"/>
      <c r="B4" s="399"/>
      <c r="C4" s="523"/>
      <c r="D4" s="523"/>
      <c r="E4" s="523"/>
      <c r="F4" s="523"/>
      <c r="G4" s="523"/>
      <c r="H4" s="523"/>
      <c r="I4" s="523"/>
      <c r="J4" s="523"/>
      <c r="K4" s="524"/>
      <c r="L4" s="525"/>
      <c r="M4" s="398"/>
      <c r="N4" s="398"/>
      <c r="O4" s="398"/>
      <c r="P4" s="398"/>
      <c r="Q4" s="398"/>
      <c r="R4" s="398"/>
    </row>
    <row r="5" spans="1:33" ht="15" customHeight="1" x14ac:dyDescent="0.2">
      <c r="A5" s="453"/>
      <c r="B5" s="399"/>
      <c r="C5" s="523"/>
      <c r="D5" s="523"/>
      <c r="E5" s="523"/>
      <c r="F5" s="523"/>
      <c r="G5" s="523"/>
      <c r="H5" s="523"/>
      <c r="I5" s="523"/>
      <c r="J5" s="523"/>
      <c r="K5" s="524"/>
      <c r="L5" s="525"/>
      <c r="M5" s="398"/>
      <c r="N5" s="398"/>
      <c r="O5" s="398"/>
      <c r="P5" s="398"/>
      <c r="Q5" s="398"/>
      <c r="R5" s="398"/>
    </row>
    <row r="6" spans="1:33" ht="15" customHeight="1" x14ac:dyDescent="0.2">
      <c r="A6" s="453"/>
      <c r="B6" s="399"/>
      <c r="C6" s="523"/>
      <c r="D6" s="523"/>
      <c r="E6" s="523"/>
      <c r="F6" s="523"/>
      <c r="G6" s="523"/>
      <c r="H6" s="523"/>
      <c r="I6" s="523"/>
      <c r="J6" s="523"/>
      <c r="K6" s="524"/>
      <c r="L6" s="525"/>
      <c r="M6" s="398"/>
      <c r="N6" s="398"/>
      <c r="O6" s="398"/>
      <c r="P6" s="398"/>
      <c r="Q6" s="398"/>
      <c r="R6" s="398"/>
    </row>
    <row r="7" spans="1:33" ht="15" customHeight="1" x14ac:dyDescent="0.2">
      <c r="A7" s="526" t="s">
        <v>2</v>
      </c>
      <c r="B7" s="527"/>
      <c r="C7" s="527"/>
      <c r="D7" s="399"/>
      <c r="E7" s="399"/>
      <c r="F7" s="399"/>
      <c r="G7" s="399"/>
      <c r="H7" s="399"/>
      <c r="I7" s="399"/>
      <c r="J7" s="399"/>
      <c r="K7" s="399"/>
      <c r="L7" s="451"/>
      <c r="M7" s="398"/>
      <c r="N7" s="398"/>
      <c r="O7" s="398"/>
      <c r="P7" s="398"/>
      <c r="Q7" s="398"/>
      <c r="R7" s="398"/>
    </row>
    <row r="8" spans="1:33" ht="15" customHeight="1" x14ac:dyDescent="0.2">
      <c r="A8" s="460"/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451"/>
      <c r="M8" s="398"/>
      <c r="N8" s="398"/>
      <c r="O8" s="398"/>
      <c r="P8" s="398"/>
      <c r="Q8" s="398"/>
      <c r="R8" s="398"/>
    </row>
    <row r="9" spans="1:33" ht="15" customHeight="1" x14ac:dyDescent="0.2">
      <c r="A9" s="517" t="s">
        <v>3</v>
      </c>
      <c r="B9" s="517"/>
      <c r="C9" s="406" t="str">
        <f>HYPERLINK("#'Personnel Roster'!A1", "Go")</f>
        <v>Go</v>
      </c>
      <c r="D9" s="399"/>
      <c r="E9" s="518" t="s">
        <v>4</v>
      </c>
      <c r="F9" s="519"/>
      <c r="G9" s="405" t="str">
        <f>HYPERLINK("#'Week 3 August 2025'!A1", "Go")</f>
        <v>Go</v>
      </c>
      <c r="H9" s="404"/>
      <c r="I9" s="528" t="s">
        <v>5</v>
      </c>
      <c r="J9" s="528"/>
      <c r="K9" s="405" t="str">
        <f>HYPERLINK("#'BPT Master Leave Tracker'!A1", "Go")</f>
        <v>Go</v>
      </c>
      <c r="L9" s="451"/>
      <c r="M9" s="398"/>
      <c r="N9" s="398"/>
      <c r="O9" s="398"/>
      <c r="P9" s="398"/>
      <c r="Q9" s="398"/>
      <c r="R9" s="398"/>
    </row>
    <row r="10" spans="1:33" ht="15" customHeight="1" x14ac:dyDescent="0.2">
      <c r="A10" s="454"/>
      <c r="B10" s="328"/>
      <c r="C10" s="328"/>
      <c r="D10" s="399"/>
      <c r="E10" s="399"/>
      <c r="F10" s="399"/>
      <c r="G10" s="399"/>
      <c r="H10" s="399"/>
      <c r="I10" s="399"/>
      <c r="J10" s="399"/>
      <c r="K10" s="399"/>
      <c r="L10" s="451"/>
      <c r="M10" s="398"/>
      <c r="N10" s="398"/>
      <c r="O10" s="398"/>
      <c r="P10" s="398"/>
      <c r="Q10" s="398"/>
      <c r="R10" s="398"/>
      <c r="U10" s="393"/>
    </row>
    <row r="11" spans="1:33" ht="15" customHeight="1" x14ac:dyDescent="0.2">
      <c r="A11" s="517" t="s">
        <v>6</v>
      </c>
      <c r="B11" s="517"/>
      <c r="C11" s="407" t="str">
        <f>HYPERLINK("#'Template v1.2'!A1", "Go")</f>
        <v>Go</v>
      </c>
      <c r="D11" s="399"/>
      <c r="E11" s="518" t="s">
        <v>7</v>
      </c>
      <c r="F11" s="519"/>
      <c r="G11" s="405" t="str">
        <f>HYPERLINK("#'Qual List'!A1", "Go")</f>
        <v>Go</v>
      </c>
      <c r="H11" s="399"/>
      <c r="I11" s="518" t="s">
        <v>8</v>
      </c>
      <c r="J11" s="519"/>
      <c r="K11" s="405" t="str">
        <f>HYPERLINK("#'Patrol Teams'!A1", "Go")</f>
        <v>Go</v>
      </c>
      <c r="L11" s="451"/>
      <c r="M11" s="398"/>
      <c r="N11" s="398"/>
      <c r="O11" s="398"/>
      <c r="P11" s="398"/>
      <c r="Q11" s="398"/>
      <c r="R11" s="398"/>
    </row>
    <row r="12" spans="1:33" ht="15" customHeight="1" x14ac:dyDescent="0.2">
      <c r="A12" s="454"/>
      <c r="B12" s="328"/>
      <c r="C12" s="328"/>
      <c r="D12" s="399"/>
      <c r="E12" s="399"/>
      <c r="F12" s="399"/>
      <c r="G12" s="399"/>
      <c r="H12" s="399"/>
      <c r="I12" s="399"/>
      <c r="J12" s="399"/>
      <c r="K12" s="399"/>
      <c r="L12" s="451"/>
      <c r="M12" s="398"/>
      <c r="N12" s="398"/>
      <c r="O12" s="398"/>
      <c r="P12" s="398"/>
      <c r="Q12" s="398"/>
      <c r="R12" s="398"/>
      <c r="AG12" s="393"/>
    </row>
    <row r="13" spans="1:33" ht="15" customHeight="1" x14ac:dyDescent="0.2">
      <c r="A13" s="520" t="s">
        <v>9</v>
      </c>
      <c r="B13" s="520"/>
      <c r="C13" s="520"/>
      <c r="D13" s="520"/>
      <c r="E13" s="520"/>
      <c r="F13" s="520"/>
      <c r="G13" s="520"/>
      <c r="H13" s="520"/>
      <c r="I13" s="520"/>
      <c r="J13" s="520"/>
      <c r="K13" s="520"/>
      <c r="L13" s="521"/>
      <c r="M13" s="398"/>
      <c r="N13" s="398"/>
      <c r="O13" s="398"/>
      <c r="P13" s="398"/>
      <c r="Q13" s="398"/>
      <c r="R13" s="398"/>
      <c r="AG13" s="393"/>
    </row>
    <row r="14" spans="1:33" x14ac:dyDescent="0.2">
      <c r="A14" s="520"/>
      <c r="B14" s="520"/>
      <c r="C14" s="520"/>
      <c r="D14" s="520"/>
      <c r="E14" s="520"/>
      <c r="F14" s="520"/>
      <c r="G14" s="520"/>
      <c r="H14" s="520"/>
      <c r="I14" s="520"/>
      <c r="J14" s="520"/>
      <c r="K14" s="520"/>
      <c r="L14" s="521"/>
      <c r="M14" s="401"/>
      <c r="N14" s="401"/>
      <c r="O14" s="401"/>
      <c r="P14" s="401"/>
      <c r="Q14" s="401"/>
      <c r="R14" s="401"/>
      <c r="S14" s="401"/>
      <c r="T14" s="401"/>
      <c r="U14" s="401"/>
      <c r="AG14" s="393"/>
    </row>
    <row r="15" spans="1:33" ht="18" x14ac:dyDescent="0.25">
      <c r="A15" s="506" t="s">
        <v>10</v>
      </c>
      <c r="B15" s="507"/>
      <c r="C15" s="507"/>
      <c r="D15" s="522"/>
      <c r="E15" s="506" t="s">
        <v>11</v>
      </c>
      <c r="F15" s="507"/>
      <c r="G15" s="507"/>
      <c r="H15" s="522"/>
      <c r="I15" s="506" t="s">
        <v>12</v>
      </c>
      <c r="J15" s="507"/>
      <c r="K15" s="507"/>
      <c r="L15" s="508"/>
    </row>
    <row r="16" spans="1:33" ht="18.75" x14ac:dyDescent="0.25">
      <c r="A16" s="514" t="str">
        <f>HYPERLINK("#'Week 1 August 2025'!A1", "Week 1")</f>
        <v>Week 1</v>
      </c>
      <c r="B16" s="503"/>
      <c r="C16" s="503"/>
      <c r="D16" s="515"/>
      <c r="E16" s="502"/>
      <c r="F16" s="503"/>
      <c r="G16" s="503"/>
      <c r="H16" s="515"/>
      <c r="I16" s="502"/>
      <c r="J16" s="503"/>
      <c r="K16" s="503"/>
      <c r="L16" s="504"/>
    </row>
    <row r="17" spans="1:12" ht="18.75" x14ac:dyDescent="0.25">
      <c r="A17" s="514" t="str">
        <f>HYPERLINK("#'Week 2 August 2025'!A1", "Week 2")</f>
        <v>Week 2</v>
      </c>
      <c r="B17" s="503"/>
      <c r="C17" s="503"/>
      <c r="D17" s="515"/>
      <c r="E17" s="502"/>
      <c r="F17" s="503"/>
      <c r="G17" s="503"/>
      <c r="H17" s="515"/>
      <c r="I17" s="502"/>
      <c r="J17" s="503"/>
      <c r="K17" s="503"/>
      <c r="L17" s="504"/>
    </row>
    <row r="18" spans="1:12" ht="18.75" x14ac:dyDescent="0.25">
      <c r="A18" s="514" t="str">
        <f>HYPERLINK("#'Week 3 August 2025'!A1", "Week 3")</f>
        <v>Week 3</v>
      </c>
      <c r="B18" s="503"/>
      <c r="C18" s="503"/>
      <c r="D18" s="515"/>
      <c r="E18" s="502"/>
      <c r="F18" s="503"/>
      <c r="G18" s="503"/>
      <c r="H18" s="515"/>
      <c r="I18" s="502"/>
      <c r="J18" s="503"/>
      <c r="K18" s="503"/>
      <c r="L18" s="504"/>
    </row>
    <row r="19" spans="1:12" ht="18.75" x14ac:dyDescent="0.25">
      <c r="A19" s="510"/>
      <c r="B19" s="511"/>
      <c r="C19" s="511"/>
      <c r="D19" s="516"/>
      <c r="E19" s="510"/>
      <c r="F19" s="511"/>
      <c r="G19" s="511"/>
      <c r="H19" s="516"/>
      <c r="I19" s="510"/>
      <c r="J19" s="511"/>
      <c r="K19" s="511"/>
      <c r="L19" s="512"/>
    </row>
    <row r="20" spans="1:12" ht="18" x14ac:dyDescent="0.25">
      <c r="A20" s="506" t="s">
        <v>13</v>
      </c>
      <c r="B20" s="507"/>
      <c r="C20" s="507"/>
      <c r="D20" s="508"/>
      <c r="E20" s="509" t="s">
        <v>14</v>
      </c>
      <c r="F20" s="507"/>
      <c r="G20" s="507"/>
      <c r="H20" s="508"/>
      <c r="I20" s="509" t="s">
        <v>15</v>
      </c>
      <c r="J20" s="507"/>
      <c r="K20" s="507"/>
      <c r="L20" s="508"/>
    </row>
    <row r="21" spans="1:12" ht="18.75" x14ac:dyDescent="0.25">
      <c r="A21" s="502"/>
      <c r="B21" s="503"/>
      <c r="C21" s="503"/>
      <c r="D21" s="504"/>
      <c r="E21" s="505"/>
      <c r="F21" s="503"/>
      <c r="G21" s="503"/>
      <c r="H21" s="504"/>
      <c r="I21" s="505"/>
      <c r="J21" s="503"/>
      <c r="K21" s="503"/>
      <c r="L21" s="504"/>
    </row>
    <row r="22" spans="1:12" ht="18.75" x14ac:dyDescent="0.25">
      <c r="A22" s="502"/>
      <c r="B22" s="503"/>
      <c r="C22" s="503"/>
      <c r="D22" s="504"/>
      <c r="E22" s="505"/>
      <c r="F22" s="503"/>
      <c r="G22" s="503"/>
      <c r="H22" s="504"/>
      <c r="I22" s="505"/>
      <c r="J22" s="503"/>
      <c r="K22" s="503"/>
      <c r="L22" s="504"/>
    </row>
    <row r="23" spans="1:12" ht="18.75" x14ac:dyDescent="0.25">
      <c r="A23" s="502"/>
      <c r="B23" s="503"/>
      <c r="C23" s="503"/>
      <c r="D23" s="504"/>
      <c r="E23" s="505"/>
      <c r="F23" s="503"/>
      <c r="G23" s="503"/>
      <c r="H23" s="504"/>
      <c r="I23" s="505"/>
      <c r="J23" s="503"/>
      <c r="K23" s="503"/>
      <c r="L23" s="504"/>
    </row>
    <row r="24" spans="1:12" ht="18.75" x14ac:dyDescent="0.25">
      <c r="A24" s="510"/>
      <c r="B24" s="511"/>
      <c r="C24" s="511"/>
      <c r="D24" s="512"/>
      <c r="E24" s="513"/>
      <c r="F24" s="511"/>
      <c r="G24" s="511"/>
      <c r="H24" s="512"/>
      <c r="I24" s="513"/>
      <c r="J24" s="511"/>
      <c r="K24" s="511"/>
      <c r="L24" s="512"/>
    </row>
    <row r="25" spans="1:12" ht="18" x14ac:dyDescent="0.25">
      <c r="A25" s="506" t="s">
        <v>16</v>
      </c>
      <c r="B25" s="507"/>
      <c r="C25" s="507"/>
      <c r="D25" s="508"/>
      <c r="E25" s="509" t="s">
        <v>17</v>
      </c>
      <c r="F25" s="507"/>
      <c r="G25" s="507"/>
      <c r="H25" s="508"/>
      <c r="I25" s="509" t="s">
        <v>18</v>
      </c>
      <c r="J25" s="507"/>
      <c r="K25" s="507"/>
      <c r="L25" s="508"/>
    </row>
    <row r="26" spans="1:12" ht="18.75" x14ac:dyDescent="0.25">
      <c r="A26" s="502"/>
      <c r="B26" s="503"/>
      <c r="C26" s="503"/>
      <c r="D26" s="504"/>
      <c r="E26" s="505"/>
      <c r="F26" s="503"/>
      <c r="G26" s="503"/>
      <c r="H26" s="504"/>
      <c r="I26" s="505"/>
      <c r="J26" s="503"/>
      <c r="K26" s="503"/>
      <c r="L26" s="504"/>
    </row>
    <row r="27" spans="1:12" ht="18.75" x14ac:dyDescent="0.25">
      <c r="A27" s="502"/>
      <c r="B27" s="503"/>
      <c r="C27" s="503"/>
      <c r="D27" s="504"/>
      <c r="E27" s="505"/>
      <c r="F27" s="503"/>
      <c r="G27" s="503"/>
      <c r="H27" s="504"/>
      <c r="I27" s="505"/>
      <c r="J27" s="503"/>
      <c r="K27" s="503"/>
      <c r="L27" s="504"/>
    </row>
    <row r="28" spans="1:12" ht="18.75" x14ac:dyDescent="0.25">
      <c r="A28" s="502"/>
      <c r="B28" s="503"/>
      <c r="C28" s="503"/>
      <c r="D28" s="504"/>
      <c r="E28" s="505"/>
      <c r="F28" s="503"/>
      <c r="G28" s="503"/>
      <c r="H28" s="504"/>
      <c r="I28" s="505"/>
      <c r="J28" s="503"/>
      <c r="K28" s="503"/>
      <c r="L28" s="504"/>
    </row>
    <row r="29" spans="1:12" ht="18.75" x14ac:dyDescent="0.25">
      <c r="A29" s="510"/>
      <c r="B29" s="511"/>
      <c r="C29" s="511"/>
      <c r="D29" s="512"/>
      <c r="E29" s="513"/>
      <c r="F29" s="511"/>
      <c r="G29" s="511"/>
      <c r="H29" s="512"/>
      <c r="I29" s="513"/>
      <c r="J29" s="511"/>
      <c r="K29" s="511"/>
      <c r="L29" s="512"/>
    </row>
    <row r="30" spans="1:12" ht="18" x14ac:dyDescent="0.25">
      <c r="A30" s="506" t="s">
        <v>19</v>
      </c>
      <c r="B30" s="507"/>
      <c r="C30" s="507"/>
      <c r="D30" s="508"/>
      <c r="E30" s="509" t="s">
        <v>20</v>
      </c>
      <c r="F30" s="507"/>
      <c r="G30" s="507"/>
      <c r="H30" s="508"/>
      <c r="I30" s="509" t="s">
        <v>21</v>
      </c>
      <c r="J30" s="507"/>
      <c r="K30" s="507"/>
      <c r="L30" s="508"/>
    </row>
    <row r="31" spans="1:12" ht="18.75" x14ac:dyDescent="0.25">
      <c r="A31" s="502"/>
      <c r="B31" s="503"/>
      <c r="C31" s="503"/>
      <c r="D31" s="504"/>
      <c r="E31" s="505"/>
      <c r="F31" s="503"/>
      <c r="G31" s="503"/>
      <c r="H31" s="504"/>
      <c r="I31" s="505"/>
      <c r="J31" s="503"/>
      <c r="K31" s="503"/>
      <c r="L31" s="504"/>
    </row>
    <row r="32" spans="1:12" ht="18.75" x14ac:dyDescent="0.25">
      <c r="A32" s="502"/>
      <c r="B32" s="503"/>
      <c r="C32" s="503"/>
      <c r="D32" s="504"/>
      <c r="E32" s="505"/>
      <c r="F32" s="503"/>
      <c r="G32" s="503"/>
      <c r="H32" s="504"/>
      <c r="I32" s="505"/>
      <c r="J32" s="503"/>
      <c r="K32" s="503"/>
      <c r="L32" s="504"/>
    </row>
    <row r="33" spans="1:12" ht="18.75" x14ac:dyDescent="0.25">
      <c r="A33" s="502"/>
      <c r="B33" s="503"/>
      <c r="C33" s="503"/>
      <c r="D33" s="504"/>
      <c r="E33" s="505"/>
      <c r="F33" s="503"/>
      <c r="G33" s="503"/>
      <c r="H33" s="504"/>
      <c r="I33" s="505"/>
      <c r="J33" s="503"/>
      <c r="K33" s="503"/>
      <c r="L33" s="504"/>
    </row>
    <row r="34" spans="1:12" ht="18.75" x14ac:dyDescent="0.25">
      <c r="A34" s="498"/>
      <c r="B34" s="499"/>
      <c r="C34" s="499"/>
      <c r="D34" s="500"/>
      <c r="E34" s="501"/>
      <c r="F34" s="499"/>
      <c r="G34" s="499"/>
      <c r="H34" s="500"/>
      <c r="I34" s="501"/>
      <c r="J34" s="499"/>
      <c r="K34" s="499"/>
      <c r="L34" s="500"/>
    </row>
    <row r="35" spans="1:12" ht="18.75" x14ac:dyDescent="0.25">
      <c r="A35" s="497"/>
      <c r="B35" s="497"/>
      <c r="C35" s="497"/>
      <c r="D35" s="497"/>
      <c r="E35" s="497"/>
      <c r="F35" s="497"/>
      <c r="G35" s="497"/>
      <c r="H35" s="497"/>
      <c r="I35" s="497"/>
      <c r="J35" s="497"/>
      <c r="K35" s="497"/>
      <c r="L35" s="497"/>
    </row>
    <row r="36" spans="1:12" ht="18.75" x14ac:dyDescent="0.25">
      <c r="A36" s="497"/>
      <c r="B36" s="497"/>
      <c r="C36" s="497"/>
      <c r="D36" s="497"/>
      <c r="E36" s="497"/>
      <c r="F36" s="497"/>
      <c r="G36" s="497"/>
      <c r="H36" s="497"/>
      <c r="I36" s="497"/>
      <c r="J36" s="497"/>
      <c r="K36" s="497"/>
      <c r="L36" s="497"/>
    </row>
    <row r="37" spans="1:12" ht="18.75" x14ac:dyDescent="0.25">
      <c r="A37" s="497"/>
      <c r="B37" s="497"/>
      <c r="C37" s="497"/>
      <c r="D37" s="497"/>
      <c r="E37" s="497"/>
      <c r="F37" s="497"/>
      <c r="G37" s="497"/>
      <c r="H37" s="497"/>
      <c r="I37" s="497"/>
      <c r="J37" s="497"/>
      <c r="K37" s="497"/>
      <c r="L37" s="497"/>
    </row>
    <row r="38" spans="1:12" ht="31.5" customHeight="1" x14ac:dyDescent="0.25">
      <c r="A38" s="497"/>
      <c r="B38" s="497"/>
      <c r="C38" s="497"/>
      <c r="D38" s="497"/>
      <c r="E38" s="497"/>
      <c r="F38" s="497"/>
      <c r="G38" s="497"/>
      <c r="H38" s="497"/>
      <c r="I38" s="497"/>
      <c r="J38" s="497"/>
      <c r="K38" s="497"/>
      <c r="L38" s="497"/>
    </row>
    <row r="39" spans="1:12" ht="18.75" x14ac:dyDescent="0.25">
      <c r="A39" s="497"/>
      <c r="B39" s="497"/>
      <c r="C39" s="497"/>
      <c r="D39" s="497"/>
      <c r="E39" s="497"/>
      <c r="F39" s="497"/>
      <c r="G39" s="497"/>
      <c r="H39" s="497"/>
      <c r="I39" s="497"/>
      <c r="J39" s="497"/>
      <c r="K39" s="497"/>
      <c r="L39" s="497"/>
    </row>
    <row r="40" spans="1:12" ht="18.75" x14ac:dyDescent="0.25">
      <c r="A40" s="497"/>
      <c r="B40" s="497"/>
      <c r="C40" s="497"/>
      <c r="D40" s="497"/>
      <c r="E40" s="497"/>
      <c r="F40" s="497"/>
      <c r="G40" s="497"/>
      <c r="H40" s="497"/>
      <c r="I40" s="497"/>
      <c r="J40" s="497"/>
      <c r="K40" s="497"/>
      <c r="L40" s="497"/>
    </row>
    <row r="41" spans="1:12" ht="18.75" x14ac:dyDescent="0.25">
      <c r="A41" s="497"/>
      <c r="B41" s="497"/>
      <c r="C41" s="497"/>
      <c r="D41" s="497"/>
      <c r="E41" s="497"/>
      <c r="F41" s="497"/>
      <c r="G41" s="497"/>
      <c r="H41" s="497"/>
      <c r="I41" s="497"/>
      <c r="J41" s="497"/>
      <c r="K41" s="497"/>
      <c r="L41" s="497"/>
    </row>
    <row r="42" spans="1:12" ht="18.75" x14ac:dyDescent="0.25">
      <c r="A42" s="497"/>
      <c r="B42" s="497"/>
      <c r="C42" s="497"/>
      <c r="D42" s="497"/>
      <c r="E42" s="497"/>
      <c r="F42" s="497"/>
      <c r="G42" s="497"/>
      <c r="H42" s="497"/>
      <c r="I42" s="497"/>
      <c r="J42" s="497"/>
      <c r="K42" s="497"/>
      <c r="L42" s="497"/>
    </row>
    <row r="43" spans="1:12" ht="18.75" x14ac:dyDescent="0.25">
      <c r="A43" s="497"/>
      <c r="B43" s="497"/>
      <c r="C43" s="497"/>
      <c r="D43" s="497"/>
      <c r="E43" s="497"/>
      <c r="F43" s="497"/>
      <c r="G43" s="497"/>
      <c r="H43" s="497"/>
      <c r="I43" s="497"/>
      <c r="J43" s="497"/>
      <c r="K43" s="497"/>
      <c r="L43" s="497"/>
    </row>
    <row r="44" spans="1:12" ht="18.75" x14ac:dyDescent="0.25">
      <c r="A44" s="497"/>
      <c r="B44" s="497"/>
      <c r="C44" s="497"/>
      <c r="D44" s="497"/>
      <c r="E44" s="497"/>
      <c r="F44" s="497"/>
      <c r="G44" s="497"/>
      <c r="H44" s="497"/>
      <c r="I44" s="497"/>
      <c r="J44" s="497"/>
      <c r="K44" s="497"/>
      <c r="L44" s="497"/>
    </row>
    <row r="45" spans="1:12" ht="18.75" x14ac:dyDescent="0.25">
      <c r="A45" s="497"/>
      <c r="B45" s="497"/>
      <c r="C45" s="497"/>
      <c r="D45" s="497"/>
      <c r="E45" s="497"/>
      <c r="F45" s="497"/>
      <c r="G45" s="497"/>
      <c r="H45" s="497"/>
      <c r="I45" s="497"/>
      <c r="J45" s="497"/>
      <c r="K45" s="497"/>
      <c r="L45" s="497"/>
    </row>
    <row r="46" spans="1:12" ht="18.75" x14ac:dyDescent="0.25">
      <c r="A46" s="497"/>
      <c r="B46" s="497"/>
      <c r="C46" s="497"/>
      <c r="D46" s="497"/>
      <c r="E46" s="497"/>
      <c r="F46" s="497"/>
      <c r="G46" s="497"/>
      <c r="H46" s="497"/>
      <c r="I46" s="497"/>
      <c r="J46" s="497"/>
      <c r="K46" s="497"/>
      <c r="L46" s="497"/>
    </row>
    <row r="47" spans="1:12" ht="18.75" x14ac:dyDescent="0.25">
      <c r="A47" s="497"/>
      <c r="B47" s="497"/>
      <c r="C47" s="497"/>
      <c r="D47" s="497"/>
      <c r="E47" s="497"/>
      <c r="F47" s="497"/>
      <c r="G47" s="497"/>
      <c r="H47" s="497"/>
      <c r="I47" s="497"/>
      <c r="J47" s="497"/>
      <c r="K47" s="497"/>
      <c r="L47" s="497"/>
    </row>
    <row r="48" spans="1:12" ht="18.75" x14ac:dyDescent="0.25">
      <c r="A48" s="497"/>
      <c r="B48" s="497"/>
      <c r="C48" s="497"/>
      <c r="D48" s="497"/>
      <c r="E48" s="497"/>
      <c r="F48" s="497"/>
      <c r="G48" s="497"/>
      <c r="H48" s="497"/>
      <c r="I48" s="497"/>
      <c r="J48" s="497"/>
      <c r="K48" s="497"/>
      <c r="L48" s="497"/>
    </row>
    <row r="49" spans="1:12" ht="18.75" x14ac:dyDescent="0.25">
      <c r="A49" s="497"/>
      <c r="B49" s="497"/>
      <c r="C49" s="497"/>
      <c r="D49" s="497"/>
      <c r="E49" s="497"/>
      <c r="F49" s="497"/>
      <c r="G49" s="497"/>
      <c r="H49" s="497"/>
      <c r="I49" s="497"/>
      <c r="J49" s="497"/>
      <c r="K49" s="497"/>
      <c r="L49" s="497"/>
    </row>
    <row r="50" spans="1:12" ht="18.75" x14ac:dyDescent="0.25">
      <c r="A50" s="497"/>
      <c r="B50" s="497"/>
      <c r="C50" s="497"/>
      <c r="D50" s="497"/>
      <c r="E50" s="497"/>
      <c r="F50" s="497"/>
      <c r="G50" s="497"/>
      <c r="H50" s="497"/>
      <c r="I50" s="497"/>
      <c r="J50" s="497"/>
      <c r="K50" s="497"/>
      <c r="L50" s="497"/>
    </row>
    <row r="51" spans="1:12" ht="18.75" x14ac:dyDescent="0.25">
      <c r="A51" s="497"/>
      <c r="B51" s="497"/>
      <c r="C51" s="497"/>
      <c r="D51" s="497"/>
      <c r="E51" s="497"/>
      <c r="F51" s="497"/>
      <c r="G51" s="497"/>
      <c r="H51" s="497"/>
      <c r="I51" s="497"/>
      <c r="J51" s="497"/>
      <c r="K51" s="497"/>
      <c r="L51" s="497"/>
    </row>
    <row r="52" spans="1:12" ht="18.75" x14ac:dyDescent="0.25">
      <c r="A52" s="497"/>
      <c r="B52" s="497"/>
      <c r="C52" s="497"/>
      <c r="D52" s="497"/>
      <c r="E52" s="497"/>
      <c r="F52" s="497"/>
      <c r="G52" s="497"/>
      <c r="H52" s="497"/>
      <c r="I52" s="497"/>
      <c r="J52" s="497"/>
      <c r="K52" s="497"/>
      <c r="L52" s="497"/>
    </row>
    <row r="53" spans="1:12" ht="18.75" x14ac:dyDescent="0.25">
      <c r="A53" s="497"/>
      <c r="B53" s="497"/>
      <c r="C53" s="497"/>
      <c r="D53" s="497"/>
      <c r="E53" s="497"/>
      <c r="F53" s="497"/>
      <c r="G53" s="497"/>
      <c r="H53" s="497"/>
      <c r="I53" s="497"/>
      <c r="J53" s="497"/>
      <c r="K53" s="497"/>
      <c r="L53" s="497"/>
    </row>
    <row r="54" spans="1:12" ht="18.75" x14ac:dyDescent="0.25">
      <c r="A54" s="497"/>
      <c r="B54" s="497"/>
      <c r="C54" s="497"/>
      <c r="D54" s="497"/>
      <c r="E54" s="497"/>
      <c r="F54" s="497"/>
      <c r="G54" s="497"/>
      <c r="H54" s="497"/>
      <c r="I54" s="497"/>
      <c r="J54" s="497"/>
      <c r="K54" s="497"/>
      <c r="L54" s="497"/>
    </row>
    <row r="55" spans="1:12" ht="18.75" x14ac:dyDescent="0.25">
      <c r="A55" s="497"/>
      <c r="B55" s="497"/>
      <c r="C55" s="497"/>
      <c r="D55" s="497"/>
      <c r="E55" s="497"/>
      <c r="F55" s="497"/>
      <c r="G55" s="497"/>
      <c r="H55" s="497"/>
      <c r="I55" s="497"/>
      <c r="J55" s="497"/>
      <c r="K55" s="497"/>
      <c r="L55" s="497"/>
    </row>
    <row r="56" spans="1:12" ht="18.75" x14ac:dyDescent="0.25">
      <c r="A56" s="497"/>
      <c r="B56" s="497"/>
      <c r="C56" s="497"/>
      <c r="D56" s="497"/>
      <c r="E56" s="497"/>
      <c r="F56" s="497"/>
      <c r="G56" s="497"/>
      <c r="H56" s="497"/>
      <c r="I56" s="497"/>
      <c r="J56" s="497"/>
      <c r="K56" s="497"/>
      <c r="L56" s="497"/>
    </row>
    <row r="57" spans="1:12" ht="18.75" x14ac:dyDescent="0.25">
      <c r="A57" s="497"/>
      <c r="B57" s="497"/>
      <c r="C57" s="497"/>
      <c r="D57" s="497"/>
      <c r="E57" s="497"/>
      <c r="F57" s="497"/>
      <c r="G57" s="497"/>
      <c r="H57" s="497"/>
      <c r="I57" s="497"/>
      <c r="J57" s="497"/>
      <c r="K57" s="497"/>
      <c r="L57" s="497"/>
    </row>
    <row r="58" spans="1:12" ht="18.75" x14ac:dyDescent="0.25">
      <c r="A58" s="497"/>
      <c r="B58" s="497"/>
      <c r="C58" s="497"/>
      <c r="D58" s="497"/>
      <c r="E58" s="497"/>
      <c r="F58" s="497"/>
      <c r="G58" s="497"/>
      <c r="H58" s="497"/>
      <c r="I58" s="497"/>
      <c r="J58" s="497"/>
      <c r="K58" s="497"/>
      <c r="L58" s="497"/>
    </row>
    <row r="59" spans="1:12" ht="18.75" x14ac:dyDescent="0.25">
      <c r="A59" s="497"/>
      <c r="B59" s="497"/>
      <c r="C59" s="497"/>
      <c r="D59" s="497"/>
      <c r="E59" s="497"/>
      <c r="F59" s="497"/>
      <c r="G59" s="497"/>
      <c r="H59" s="497"/>
      <c r="I59" s="497"/>
      <c r="J59" s="497"/>
      <c r="K59" s="497"/>
      <c r="L59" s="497"/>
    </row>
    <row r="60" spans="1:12" ht="18.75" x14ac:dyDescent="0.25">
      <c r="A60" s="497"/>
      <c r="B60" s="497"/>
      <c r="C60" s="497"/>
      <c r="D60" s="497"/>
      <c r="E60" s="497"/>
      <c r="F60" s="497"/>
      <c r="G60" s="497"/>
      <c r="H60" s="497"/>
      <c r="I60" s="497"/>
      <c r="J60" s="497"/>
      <c r="K60" s="497"/>
      <c r="L60" s="497"/>
    </row>
    <row r="61" spans="1:12" ht="18.75" x14ac:dyDescent="0.25">
      <c r="A61" s="497"/>
      <c r="B61" s="497"/>
      <c r="C61" s="497"/>
      <c r="D61" s="497"/>
      <c r="E61" s="497"/>
      <c r="F61" s="497"/>
      <c r="G61" s="497"/>
      <c r="H61" s="497"/>
      <c r="I61" s="497"/>
      <c r="J61" s="497"/>
      <c r="K61" s="497"/>
      <c r="L61" s="497"/>
    </row>
    <row r="62" spans="1:12" ht="18.75" x14ac:dyDescent="0.25">
      <c r="A62" s="497"/>
      <c r="B62" s="497"/>
      <c r="C62" s="497"/>
      <c r="D62" s="497"/>
      <c r="E62" s="497"/>
      <c r="F62" s="497"/>
      <c r="G62" s="497"/>
      <c r="H62" s="497"/>
      <c r="I62" s="497"/>
      <c r="J62" s="497"/>
      <c r="K62" s="497"/>
      <c r="L62" s="497"/>
    </row>
    <row r="63" spans="1:12" ht="18.75" x14ac:dyDescent="0.25">
      <c r="A63" s="497"/>
      <c r="B63" s="497"/>
      <c r="C63" s="497"/>
      <c r="D63" s="497"/>
      <c r="E63" s="497"/>
      <c r="F63" s="497"/>
      <c r="G63" s="497"/>
      <c r="H63" s="497"/>
      <c r="I63" s="497"/>
      <c r="J63" s="497"/>
      <c r="K63" s="497"/>
      <c r="L63" s="497"/>
    </row>
    <row r="64" spans="1:12" ht="18.75" x14ac:dyDescent="0.25">
      <c r="A64" s="497"/>
      <c r="B64" s="497"/>
      <c r="C64" s="497"/>
      <c r="D64" s="497"/>
      <c r="E64" s="497"/>
      <c r="F64" s="497"/>
      <c r="G64" s="497"/>
      <c r="H64" s="497"/>
      <c r="I64" s="497"/>
      <c r="J64" s="497"/>
      <c r="K64" s="497"/>
      <c r="L64" s="497"/>
    </row>
    <row r="65" spans="1:12" ht="18.75" x14ac:dyDescent="0.25">
      <c r="A65" s="497"/>
      <c r="B65" s="497"/>
      <c r="C65" s="497"/>
      <c r="D65" s="497"/>
      <c r="E65" s="497"/>
      <c r="F65" s="497"/>
      <c r="G65" s="497"/>
      <c r="H65" s="497"/>
      <c r="I65" s="497"/>
      <c r="J65" s="497"/>
      <c r="K65" s="497"/>
      <c r="L65" s="497"/>
    </row>
    <row r="66" spans="1:12" ht="18.75" x14ac:dyDescent="0.25">
      <c r="A66" s="497"/>
      <c r="B66" s="497"/>
      <c r="C66" s="497"/>
      <c r="D66" s="497"/>
      <c r="E66" s="497"/>
      <c r="F66" s="497"/>
      <c r="G66" s="497"/>
      <c r="H66" s="497"/>
      <c r="I66" s="497"/>
      <c r="J66" s="497"/>
      <c r="K66" s="497"/>
      <c r="L66" s="497"/>
    </row>
    <row r="67" spans="1:12" ht="18.75" x14ac:dyDescent="0.25">
      <c r="A67" s="497"/>
      <c r="B67" s="497"/>
      <c r="C67" s="497"/>
      <c r="D67" s="497"/>
      <c r="E67" s="497"/>
      <c r="F67" s="497"/>
      <c r="G67" s="497"/>
      <c r="H67" s="497"/>
      <c r="I67" s="497"/>
      <c r="J67" s="497"/>
      <c r="K67" s="497"/>
      <c r="L67" s="497"/>
    </row>
    <row r="68" spans="1:12" ht="18.75" x14ac:dyDescent="0.25">
      <c r="A68" s="497"/>
      <c r="B68" s="497"/>
      <c r="C68" s="497"/>
      <c r="D68" s="497"/>
      <c r="E68" s="497"/>
      <c r="F68" s="497"/>
      <c r="G68" s="497"/>
      <c r="H68" s="497"/>
      <c r="I68" s="497"/>
      <c r="J68" s="497"/>
      <c r="K68" s="497"/>
      <c r="L68" s="497"/>
    </row>
    <row r="69" spans="1:12" ht="18.75" x14ac:dyDescent="0.25">
      <c r="A69" s="497"/>
      <c r="B69" s="497"/>
      <c r="C69" s="497"/>
      <c r="D69" s="497"/>
      <c r="E69" s="497"/>
      <c r="F69" s="497"/>
      <c r="G69" s="497"/>
      <c r="H69" s="497"/>
      <c r="I69" s="497"/>
      <c r="J69" s="497"/>
      <c r="K69" s="497"/>
      <c r="L69" s="497"/>
    </row>
    <row r="70" spans="1:12" ht="18.75" x14ac:dyDescent="0.25">
      <c r="A70" s="497"/>
      <c r="B70" s="497"/>
      <c r="C70" s="497"/>
      <c r="D70" s="497"/>
      <c r="E70" s="497"/>
      <c r="F70" s="497"/>
      <c r="G70" s="497"/>
      <c r="H70" s="497"/>
      <c r="I70" s="497"/>
      <c r="J70" s="497"/>
      <c r="K70" s="497"/>
      <c r="L70" s="497"/>
    </row>
    <row r="71" spans="1:12" ht="18.75" x14ac:dyDescent="0.25">
      <c r="A71" s="497"/>
      <c r="B71" s="497"/>
      <c r="C71" s="497"/>
      <c r="D71" s="497"/>
      <c r="E71" s="497"/>
      <c r="F71" s="497"/>
      <c r="G71" s="497"/>
      <c r="H71" s="497"/>
      <c r="I71" s="497"/>
      <c r="J71" s="497"/>
      <c r="K71" s="497"/>
      <c r="L71" s="497"/>
    </row>
    <row r="72" spans="1:12" ht="18.75" x14ac:dyDescent="0.25">
      <c r="A72" s="497"/>
      <c r="B72" s="497"/>
      <c r="C72" s="497"/>
      <c r="D72" s="497"/>
      <c r="E72" s="497"/>
      <c r="F72" s="497"/>
      <c r="G72" s="497"/>
      <c r="H72" s="497"/>
      <c r="I72" s="497"/>
      <c r="J72" s="497"/>
      <c r="K72" s="497"/>
      <c r="L72" s="497"/>
    </row>
    <row r="73" spans="1:12" ht="18.75" x14ac:dyDescent="0.25">
      <c r="A73" s="497"/>
      <c r="B73" s="497"/>
      <c r="C73" s="497"/>
      <c r="D73" s="497"/>
      <c r="E73" s="497"/>
      <c r="F73" s="497"/>
      <c r="G73" s="497"/>
      <c r="H73" s="497"/>
      <c r="I73" s="497"/>
      <c r="J73" s="497"/>
      <c r="K73" s="497"/>
      <c r="L73" s="497"/>
    </row>
    <row r="74" spans="1:12" ht="18.75" x14ac:dyDescent="0.25">
      <c r="A74" s="497"/>
      <c r="B74" s="497"/>
      <c r="C74" s="497"/>
      <c r="D74" s="497"/>
      <c r="E74" s="497"/>
      <c r="F74" s="497"/>
      <c r="G74" s="497"/>
      <c r="H74" s="497"/>
      <c r="I74" s="497"/>
      <c r="J74" s="497"/>
      <c r="K74" s="497"/>
      <c r="L74" s="497"/>
    </row>
    <row r="75" spans="1:12" ht="18.75" x14ac:dyDescent="0.25">
      <c r="A75" s="497"/>
      <c r="B75" s="497"/>
      <c r="C75" s="497"/>
      <c r="D75" s="497"/>
      <c r="E75" s="497"/>
      <c r="F75" s="497"/>
      <c r="G75" s="497"/>
      <c r="H75" s="497"/>
      <c r="I75" s="497"/>
      <c r="J75" s="497"/>
      <c r="K75" s="497"/>
      <c r="L75" s="497"/>
    </row>
    <row r="76" spans="1:12" ht="18.75" x14ac:dyDescent="0.25">
      <c r="A76" s="497"/>
      <c r="B76" s="497"/>
      <c r="C76" s="497"/>
      <c r="D76" s="497"/>
      <c r="E76" s="497"/>
      <c r="F76" s="497"/>
      <c r="G76" s="497"/>
      <c r="H76" s="497"/>
      <c r="I76" s="497"/>
      <c r="J76" s="497"/>
      <c r="K76" s="497"/>
      <c r="L76" s="497"/>
    </row>
    <row r="77" spans="1:12" ht="18.75" x14ac:dyDescent="0.25">
      <c r="A77" s="497"/>
      <c r="B77" s="497"/>
      <c r="C77" s="497"/>
      <c r="D77" s="497"/>
      <c r="E77" s="497"/>
      <c r="F77" s="497"/>
      <c r="G77" s="497"/>
      <c r="H77" s="497"/>
      <c r="I77" s="497"/>
      <c r="J77" s="497"/>
      <c r="K77" s="497"/>
      <c r="L77" s="497"/>
    </row>
    <row r="78" spans="1:12" ht="18.75" x14ac:dyDescent="0.25">
      <c r="A78" s="497"/>
      <c r="B78" s="497"/>
      <c r="C78" s="497"/>
      <c r="D78" s="497"/>
      <c r="E78" s="497"/>
      <c r="F78" s="497"/>
      <c r="G78" s="497"/>
      <c r="H78" s="497"/>
      <c r="I78" s="497"/>
      <c r="J78" s="497"/>
      <c r="K78" s="497"/>
      <c r="L78" s="497"/>
    </row>
    <row r="79" spans="1:12" ht="18.75" x14ac:dyDescent="0.25">
      <c r="A79" s="497"/>
      <c r="B79" s="497"/>
      <c r="C79" s="497"/>
      <c r="D79" s="497"/>
      <c r="E79" s="497"/>
      <c r="F79" s="497"/>
      <c r="G79" s="497"/>
      <c r="H79" s="497"/>
      <c r="I79" s="497"/>
      <c r="J79" s="497"/>
      <c r="K79" s="497"/>
      <c r="L79" s="497"/>
    </row>
    <row r="80" spans="1:12" ht="18.75" x14ac:dyDescent="0.25">
      <c r="A80" s="497"/>
      <c r="B80" s="497"/>
      <c r="C80" s="497"/>
      <c r="D80" s="497"/>
      <c r="E80" s="497"/>
      <c r="F80" s="497"/>
      <c r="G80" s="497"/>
      <c r="H80" s="497"/>
      <c r="I80" s="497"/>
      <c r="J80" s="497"/>
      <c r="K80" s="497"/>
      <c r="L80" s="497"/>
    </row>
    <row r="81" spans="1:12" ht="18.75" x14ac:dyDescent="0.25">
      <c r="A81" s="497"/>
      <c r="B81" s="497"/>
      <c r="C81" s="497"/>
      <c r="D81" s="497"/>
      <c r="E81" s="497"/>
      <c r="F81" s="497"/>
      <c r="G81" s="497"/>
      <c r="H81" s="497"/>
      <c r="I81" s="497"/>
      <c r="J81" s="497"/>
      <c r="K81" s="497"/>
      <c r="L81" s="497"/>
    </row>
    <row r="82" spans="1:12" ht="18.75" x14ac:dyDescent="0.25">
      <c r="A82" s="497"/>
      <c r="B82" s="497"/>
      <c r="C82" s="497"/>
      <c r="D82" s="497"/>
      <c r="E82" s="497"/>
      <c r="F82" s="497"/>
      <c r="G82" s="497"/>
      <c r="H82" s="497"/>
      <c r="I82" s="497"/>
      <c r="J82" s="497"/>
      <c r="K82" s="497"/>
      <c r="L82" s="497"/>
    </row>
    <row r="83" spans="1:12" ht="18.75" x14ac:dyDescent="0.25">
      <c r="A83" s="497"/>
      <c r="B83" s="497"/>
      <c r="C83" s="497"/>
      <c r="D83" s="497"/>
      <c r="E83" s="497"/>
      <c r="F83" s="497"/>
      <c r="G83" s="497"/>
      <c r="H83" s="497"/>
      <c r="I83" s="497"/>
      <c r="J83" s="497"/>
      <c r="K83" s="497"/>
      <c r="L83" s="497"/>
    </row>
    <row r="84" spans="1:12" ht="18.75" x14ac:dyDescent="0.25">
      <c r="A84" s="497"/>
      <c r="B84" s="497"/>
      <c r="C84" s="497"/>
      <c r="D84" s="497"/>
      <c r="E84" s="497"/>
      <c r="F84" s="497"/>
      <c r="G84" s="497"/>
      <c r="H84" s="497"/>
      <c r="I84" s="497"/>
      <c r="J84" s="497"/>
      <c r="K84" s="497"/>
      <c r="L84" s="497"/>
    </row>
    <row r="85" spans="1:12" ht="18.75" x14ac:dyDescent="0.25">
      <c r="A85" s="497"/>
      <c r="B85" s="497"/>
      <c r="C85" s="497"/>
      <c r="D85" s="497"/>
      <c r="E85" s="497"/>
      <c r="F85" s="497"/>
      <c r="G85" s="497"/>
      <c r="H85" s="497"/>
      <c r="I85" s="497"/>
      <c r="J85" s="497"/>
      <c r="K85" s="497"/>
      <c r="L85" s="497"/>
    </row>
    <row r="86" spans="1:12" ht="18.75" x14ac:dyDescent="0.25">
      <c r="A86" s="497"/>
      <c r="B86" s="497"/>
      <c r="C86" s="497"/>
      <c r="D86" s="497"/>
      <c r="E86" s="497"/>
      <c r="F86" s="497"/>
      <c r="G86" s="497"/>
      <c r="H86" s="497"/>
      <c r="I86" s="497"/>
      <c r="J86" s="497"/>
      <c r="K86" s="497"/>
      <c r="L86" s="497"/>
    </row>
    <row r="87" spans="1:12" ht="18.75" x14ac:dyDescent="0.25">
      <c r="A87" s="497"/>
      <c r="B87" s="497"/>
      <c r="C87" s="497"/>
      <c r="D87" s="497"/>
      <c r="E87" s="497"/>
      <c r="F87" s="497"/>
      <c r="G87" s="497"/>
      <c r="H87" s="497"/>
      <c r="I87" s="497"/>
      <c r="J87" s="497"/>
      <c r="K87" s="497"/>
      <c r="L87" s="497"/>
    </row>
    <row r="88" spans="1:12" ht="18.75" x14ac:dyDescent="0.25">
      <c r="A88" s="497"/>
      <c r="B88" s="497"/>
      <c r="C88" s="497"/>
      <c r="D88" s="497"/>
      <c r="E88" s="497"/>
      <c r="F88" s="497"/>
      <c r="G88" s="497"/>
      <c r="H88" s="497"/>
      <c r="I88" s="497"/>
      <c r="J88" s="497"/>
      <c r="K88" s="497"/>
      <c r="L88" s="497"/>
    </row>
    <row r="89" spans="1:12" ht="18.75" x14ac:dyDescent="0.25">
      <c r="A89" s="497"/>
      <c r="B89" s="497"/>
      <c r="C89" s="497"/>
      <c r="D89" s="497"/>
      <c r="E89" s="497"/>
      <c r="F89" s="497"/>
      <c r="G89" s="497"/>
      <c r="H89" s="497"/>
      <c r="I89" s="497"/>
      <c r="J89" s="497"/>
      <c r="K89" s="497"/>
      <c r="L89" s="497"/>
    </row>
    <row r="90" spans="1:12" ht="18.75" x14ac:dyDescent="0.25">
      <c r="A90" s="497"/>
      <c r="B90" s="497"/>
      <c r="C90" s="497"/>
      <c r="D90" s="497"/>
      <c r="E90" s="497"/>
      <c r="F90" s="497"/>
      <c r="G90" s="497"/>
      <c r="H90" s="497"/>
      <c r="I90" s="497"/>
      <c r="J90" s="497"/>
      <c r="K90" s="497"/>
      <c r="L90" s="497"/>
    </row>
    <row r="91" spans="1:12" ht="18.75" x14ac:dyDescent="0.25">
      <c r="A91" s="497"/>
      <c r="B91" s="497"/>
      <c r="C91" s="497"/>
      <c r="D91" s="497"/>
      <c r="E91" s="497"/>
      <c r="F91" s="497"/>
      <c r="G91" s="497"/>
      <c r="H91" s="497"/>
      <c r="I91" s="497"/>
      <c r="J91" s="497"/>
      <c r="K91" s="497"/>
      <c r="L91" s="497"/>
    </row>
    <row r="92" spans="1:12" ht="18.75" x14ac:dyDescent="0.25">
      <c r="A92" s="497"/>
      <c r="B92" s="497"/>
      <c r="C92" s="497"/>
      <c r="D92" s="497"/>
      <c r="E92" s="497"/>
      <c r="F92" s="497"/>
      <c r="G92" s="497"/>
      <c r="H92" s="497"/>
      <c r="I92" s="497"/>
      <c r="J92" s="497"/>
      <c r="K92" s="497"/>
      <c r="L92" s="497"/>
    </row>
    <row r="93" spans="1:12" ht="18.75" x14ac:dyDescent="0.25">
      <c r="A93" s="497"/>
      <c r="B93" s="497"/>
      <c r="C93" s="497"/>
      <c r="D93" s="497"/>
      <c r="E93" s="497"/>
      <c r="F93" s="497"/>
      <c r="G93" s="497"/>
      <c r="H93" s="497"/>
      <c r="I93" s="497"/>
      <c r="J93" s="497"/>
      <c r="K93" s="497"/>
      <c r="L93" s="497"/>
    </row>
    <row r="94" spans="1:12" ht="18.75" x14ac:dyDescent="0.25">
      <c r="A94" s="497"/>
      <c r="B94" s="497"/>
      <c r="C94" s="497"/>
      <c r="D94" s="497"/>
      <c r="E94" s="497"/>
      <c r="F94" s="497"/>
      <c r="G94" s="497"/>
      <c r="H94" s="497"/>
      <c r="I94" s="497"/>
      <c r="J94" s="497"/>
      <c r="K94" s="497"/>
      <c r="L94" s="497"/>
    </row>
    <row r="95" spans="1:12" ht="18.75" x14ac:dyDescent="0.25">
      <c r="A95" s="497"/>
      <c r="B95" s="497"/>
      <c r="C95" s="497"/>
      <c r="D95" s="497"/>
      <c r="E95" s="497"/>
      <c r="F95" s="497"/>
      <c r="G95" s="497"/>
      <c r="H95" s="497"/>
      <c r="I95" s="497"/>
      <c r="J95" s="497"/>
      <c r="K95" s="497"/>
      <c r="L95" s="497"/>
    </row>
    <row r="96" spans="1:12" ht="18.75" x14ac:dyDescent="0.25">
      <c r="A96" s="497"/>
      <c r="B96" s="497"/>
      <c r="C96" s="497"/>
      <c r="D96" s="497"/>
      <c r="E96" s="497"/>
      <c r="F96" s="497"/>
      <c r="G96" s="497"/>
      <c r="H96" s="497"/>
      <c r="I96" s="497"/>
      <c r="J96" s="497"/>
      <c r="K96" s="497"/>
      <c r="L96" s="497"/>
    </row>
    <row r="97" spans="1:12" ht="18.75" x14ac:dyDescent="0.25">
      <c r="A97" s="497"/>
      <c r="B97" s="497"/>
      <c r="C97" s="497"/>
      <c r="D97" s="497"/>
      <c r="E97" s="497"/>
      <c r="F97" s="497"/>
      <c r="G97" s="497"/>
      <c r="H97" s="497"/>
      <c r="I97" s="497"/>
      <c r="J97" s="497"/>
      <c r="K97" s="497"/>
      <c r="L97" s="497"/>
    </row>
    <row r="98" spans="1:12" ht="18.75" x14ac:dyDescent="0.25">
      <c r="A98" s="497"/>
      <c r="B98" s="497"/>
      <c r="C98" s="497"/>
      <c r="D98" s="497"/>
      <c r="E98" s="497"/>
      <c r="F98" s="497"/>
      <c r="G98" s="497"/>
      <c r="H98" s="497"/>
      <c r="I98" s="497"/>
      <c r="J98" s="497"/>
      <c r="K98" s="497"/>
      <c r="L98" s="497"/>
    </row>
    <row r="99" spans="1:12" ht="18.75" x14ac:dyDescent="0.25">
      <c r="A99" s="497"/>
      <c r="B99" s="497"/>
      <c r="C99" s="497"/>
      <c r="D99" s="497"/>
      <c r="E99" s="497"/>
      <c r="F99" s="497"/>
      <c r="G99" s="497"/>
      <c r="H99" s="497"/>
      <c r="I99" s="497"/>
      <c r="J99" s="497"/>
      <c r="K99" s="497"/>
      <c r="L99" s="497"/>
    </row>
    <row r="100" spans="1:12" ht="18.75" x14ac:dyDescent="0.25">
      <c r="A100" s="497"/>
      <c r="B100" s="497"/>
      <c r="C100" s="497"/>
      <c r="D100" s="497"/>
      <c r="E100" s="497"/>
      <c r="F100" s="497"/>
      <c r="G100" s="497"/>
      <c r="H100" s="497"/>
      <c r="I100" s="497"/>
      <c r="J100" s="497"/>
      <c r="K100" s="497"/>
      <c r="L100" s="497"/>
    </row>
    <row r="101" spans="1:12" ht="18.75" x14ac:dyDescent="0.25">
      <c r="A101" s="497"/>
      <c r="B101" s="497"/>
      <c r="C101" s="497"/>
      <c r="D101" s="497"/>
      <c r="E101" s="497"/>
      <c r="F101" s="497"/>
      <c r="G101" s="497"/>
      <c r="H101" s="497"/>
      <c r="I101" s="497"/>
      <c r="J101" s="497"/>
      <c r="K101" s="497"/>
      <c r="L101" s="497"/>
    </row>
    <row r="102" spans="1:12" ht="18.75" x14ac:dyDescent="0.25">
      <c r="A102" s="455"/>
      <c r="B102" s="402"/>
      <c r="C102" s="402"/>
      <c r="D102" s="402"/>
      <c r="E102" s="402"/>
      <c r="F102" s="402"/>
      <c r="G102" s="402"/>
      <c r="H102" s="402"/>
      <c r="I102" s="402"/>
      <c r="J102" s="402"/>
      <c r="K102" s="402"/>
      <c r="L102" s="452"/>
    </row>
    <row r="103" spans="1:12" ht="18.75" x14ac:dyDescent="0.25">
      <c r="A103" s="455"/>
      <c r="B103" s="402"/>
      <c r="C103" s="402"/>
      <c r="D103" s="402"/>
      <c r="E103" s="402"/>
      <c r="F103" s="402"/>
      <c r="G103" s="402"/>
      <c r="H103" s="402"/>
      <c r="I103" s="402"/>
      <c r="J103" s="402"/>
      <c r="K103" s="402"/>
      <c r="L103" s="452"/>
    </row>
    <row r="104" spans="1:12" ht="18.75" x14ac:dyDescent="0.25">
      <c r="A104" s="455"/>
      <c r="B104" s="402"/>
      <c r="C104" s="402"/>
      <c r="D104" s="402"/>
      <c r="E104" s="402"/>
      <c r="F104" s="402"/>
      <c r="G104" s="402"/>
      <c r="H104" s="402"/>
      <c r="I104" s="402"/>
      <c r="J104" s="402"/>
      <c r="K104" s="402"/>
      <c r="L104" s="452"/>
    </row>
    <row r="105" spans="1:12" ht="18.75" x14ac:dyDescent="0.25">
      <c r="A105" s="455"/>
      <c r="B105" s="402"/>
      <c r="C105" s="402"/>
      <c r="D105" s="402"/>
      <c r="E105" s="402"/>
      <c r="F105" s="402"/>
      <c r="G105" s="402"/>
      <c r="H105" s="402"/>
      <c r="I105" s="402"/>
      <c r="J105" s="402"/>
      <c r="K105" s="402"/>
      <c r="L105" s="452"/>
    </row>
    <row r="106" spans="1:12" ht="18.75" x14ac:dyDescent="0.25">
      <c r="A106" s="455"/>
      <c r="B106" s="402"/>
      <c r="C106" s="402"/>
      <c r="D106" s="402"/>
      <c r="E106" s="402"/>
      <c r="F106" s="402"/>
      <c r="G106" s="402"/>
      <c r="H106" s="402"/>
      <c r="I106" s="402"/>
      <c r="J106" s="402"/>
      <c r="K106" s="402"/>
      <c r="L106" s="452"/>
    </row>
    <row r="107" spans="1:12" ht="18.75" x14ac:dyDescent="0.25">
      <c r="A107" s="455"/>
      <c r="B107" s="402"/>
      <c r="C107" s="402"/>
      <c r="D107" s="402"/>
      <c r="E107" s="402"/>
      <c r="F107" s="402"/>
      <c r="G107" s="402"/>
      <c r="H107" s="402"/>
      <c r="I107" s="402"/>
      <c r="J107" s="402"/>
      <c r="K107" s="402"/>
      <c r="L107" s="452"/>
    </row>
    <row r="108" spans="1:12" ht="18.75" x14ac:dyDescent="0.25">
      <c r="A108" s="455"/>
      <c r="B108" s="402"/>
      <c r="C108" s="402"/>
      <c r="D108" s="402"/>
      <c r="E108" s="402"/>
      <c r="F108" s="402"/>
      <c r="G108" s="402"/>
      <c r="H108" s="402"/>
      <c r="I108" s="402"/>
      <c r="J108" s="402"/>
      <c r="K108" s="402"/>
      <c r="L108" s="452"/>
    </row>
    <row r="109" spans="1:12" ht="18.75" x14ac:dyDescent="0.25">
      <c r="A109" s="455"/>
      <c r="B109" s="402"/>
      <c r="C109" s="402"/>
      <c r="D109" s="402"/>
      <c r="E109" s="402"/>
      <c r="F109" s="402"/>
      <c r="G109" s="402"/>
      <c r="H109" s="402"/>
      <c r="I109" s="402"/>
      <c r="J109" s="402"/>
      <c r="K109" s="402"/>
      <c r="L109" s="452"/>
    </row>
    <row r="110" spans="1:12" ht="18.75" x14ac:dyDescent="0.25">
      <c r="A110" s="455"/>
      <c r="B110" s="402"/>
      <c r="C110" s="402"/>
      <c r="D110" s="402"/>
      <c r="E110" s="402"/>
      <c r="F110" s="402"/>
      <c r="G110" s="402"/>
      <c r="H110" s="402"/>
      <c r="I110" s="402"/>
      <c r="J110" s="402"/>
      <c r="K110" s="402"/>
      <c r="L110" s="452"/>
    </row>
    <row r="111" spans="1:12" ht="18.75" x14ac:dyDescent="0.25">
      <c r="A111" s="455"/>
      <c r="B111" s="402"/>
      <c r="C111" s="402"/>
      <c r="D111" s="402"/>
      <c r="E111" s="402"/>
      <c r="F111" s="402"/>
      <c r="G111" s="402"/>
      <c r="H111" s="402"/>
      <c r="I111" s="402"/>
      <c r="J111" s="402"/>
      <c r="K111" s="402"/>
      <c r="L111" s="452"/>
    </row>
    <row r="112" spans="1:12" ht="18.75" x14ac:dyDescent="0.25">
      <c r="A112" s="455"/>
      <c r="B112" s="402"/>
      <c r="C112" s="402"/>
      <c r="D112" s="402"/>
      <c r="E112" s="402"/>
      <c r="F112" s="402"/>
      <c r="G112" s="402"/>
      <c r="H112" s="402"/>
      <c r="I112" s="402"/>
      <c r="J112" s="402"/>
      <c r="K112" s="402"/>
      <c r="L112" s="452"/>
    </row>
    <row r="113" spans="1:12" ht="18.75" x14ac:dyDescent="0.25">
      <c r="A113" s="455"/>
      <c r="B113" s="402"/>
      <c r="C113" s="402"/>
      <c r="D113" s="402"/>
      <c r="E113" s="402"/>
      <c r="F113" s="402"/>
      <c r="G113" s="402"/>
      <c r="H113" s="402"/>
      <c r="I113" s="402"/>
      <c r="J113" s="402"/>
      <c r="K113" s="402"/>
      <c r="L113" s="452"/>
    </row>
    <row r="114" spans="1:12" ht="18.75" x14ac:dyDescent="0.25">
      <c r="A114" s="455"/>
      <c r="B114" s="402"/>
      <c r="C114" s="402"/>
      <c r="D114" s="402"/>
      <c r="E114" s="402"/>
      <c r="F114" s="402"/>
      <c r="G114" s="402"/>
      <c r="H114" s="402"/>
      <c r="I114" s="402"/>
      <c r="J114" s="402"/>
      <c r="K114" s="402"/>
      <c r="L114" s="452"/>
    </row>
    <row r="115" spans="1:12" ht="18.75" x14ac:dyDescent="0.25">
      <c r="A115" s="455"/>
      <c r="B115" s="402"/>
      <c r="C115" s="402"/>
      <c r="D115" s="402"/>
      <c r="E115" s="402"/>
      <c r="F115" s="402"/>
      <c r="G115" s="402"/>
      <c r="H115" s="402"/>
      <c r="I115" s="402"/>
      <c r="J115" s="402"/>
      <c r="K115" s="402"/>
      <c r="L115" s="452"/>
    </row>
    <row r="116" spans="1:12" ht="18.75" x14ac:dyDescent="0.25">
      <c r="A116" s="455"/>
      <c r="B116" s="402"/>
      <c r="C116" s="402"/>
      <c r="D116" s="402"/>
      <c r="E116" s="402"/>
      <c r="F116" s="402"/>
      <c r="G116" s="402"/>
      <c r="H116" s="402"/>
      <c r="I116" s="402"/>
      <c r="J116" s="402"/>
      <c r="K116" s="402"/>
      <c r="L116" s="452"/>
    </row>
    <row r="117" spans="1:12" ht="18.75" x14ac:dyDescent="0.25">
      <c r="A117" s="455"/>
      <c r="B117" s="402"/>
      <c r="C117" s="402"/>
      <c r="D117" s="402"/>
      <c r="E117" s="402"/>
      <c r="F117" s="402"/>
      <c r="G117" s="402"/>
      <c r="H117" s="402"/>
      <c r="I117" s="402"/>
      <c r="J117" s="402"/>
      <c r="K117" s="402"/>
      <c r="L117" s="452"/>
    </row>
    <row r="118" spans="1:12" ht="18.75" x14ac:dyDescent="0.25">
      <c r="A118" s="455"/>
      <c r="B118" s="402"/>
      <c r="C118" s="402"/>
      <c r="D118" s="402"/>
      <c r="E118" s="402"/>
      <c r="F118" s="402"/>
      <c r="G118" s="402"/>
      <c r="H118" s="402"/>
      <c r="I118" s="402"/>
      <c r="J118" s="402"/>
      <c r="K118" s="402"/>
      <c r="L118" s="452"/>
    </row>
    <row r="119" spans="1:12" ht="18.75" x14ac:dyDescent="0.25">
      <c r="A119" s="455"/>
      <c r="B119" s="402"/>
      <c r="C119" s="402"/>
      <c r="D119" s="402"/>
      <c r="E119" s="402"/>
      <c r="F119" s="402"/>
      <c r="G119" s="402"/>
      <c r="H119" s="402"/>
      <c r="I119" s="402"/>
      <c r="J119" s="402"/>
      <c r="K119" s="402"/>
      <c r="L119" s="452"/>
    </row>
    <row r="120" spans="1:12" ht="18.75" x14ac:dyDescent="0.25">
      <c r="A120" s="455"/>
      <c r="B120" s="402"/>
      <c r="C120" s="402"/>
      <c r="D120" s="402"/>
      <c r="E120" s="402"/>
      <c r="F120" s="402"/>
      <c r="G120" s="402"/>
      <c r="H120" s="402"/>
      <c r="I120" s="402"/>
      <c r="J120" s="402"/>
      <c r="K120" s="402"/>
      <c r="L120" s="452"/>
    </row>
    <row r="121" spans="1:12" ht="18.75" x14ac:dyDescent="0.25">
      <c r="A121" s="455"/>
      <c r="B121" s="402"/>
      <c r="C121" s="402"/>
      <c r="D121" s="402"/>
      <c r="E121" s="402"/>
      <c r="F121" s="402"/>
      <c r="G121" s="402"/>
      <c r="H121" s="402"/>
      <c r="I121" s="402"/>
      <c r="J121" s="402"/>
      <c r="K121" s="402"/>
      <c r="L121" s="452"/>
    </row>
    <row r="122" spans="1:12" ht="18.75" x14ac:dyDescent="0.25">
      <c r="A122" s="455"/>
      <c r="B122" s="402"/>
      <c r="C122" s="402"/>
      <c r="D122" s="402"/>
      <c r="E122" s="402"/>
      <c r="F122" s="402"/>
      <c r="G122" s="402"/>
      <c r="H122" s="402"/>
      <c r="I122" s="402"/>
      <c r="J122" s="402"/>
      <c r="K122" s="402"/>
      <c r="L122" s="452"/>
    </row>
    <row r="123" spans="1:12" ht="18.75" x14ac:dyDescent="0.25">
      <c r="A123" s="455"/>
      <c r="B123" s="402"/>
      <c r="C123" s="402"/>
      <c r="D123" s="402"/>
      <c r="E123" s="402"/>
      <c r="F123" s="402"/>
      <c r="G123" s="402"/>
      <c r="H123" s="402"/>
      <c r="I123" s="402"/>
      <c r="J123" s="402"/>
      <c r="K123" s="402"/>
      <c r="L123" s="452"/>
    </row>
    <row r="124" spans="1:12" ht="18.75" x14ac:dyDescent="0.25">
      <c r="A124" s="455"/>
      <c r="B124" s="402"/>
      <c r="C124" s="402"/>
      <c r="D124" s="402"/>
      <c r="E124" s="402"/>
      <c r="F124" s="402"/>
      <c r="G124" s="402"/>
      <c r="H124" s="402"/>
      <c r="I124" s="402"/>
      <c r="J124" s="402"/>
      <c r="K124" s="402"/>
      <c r="L124" s="452"/>
    </row>
    <row r="125" spans="1:12" ht="18.75" x14ac:dyDescent="0.25">
      <c r="A125" s="455"/>
      <c r="B125" s="402"/>
      <c r="C125" s="402"/>
      <c r="D125" s="402"/>
      <c r="E125" s="402"/>
      <c r="F125" s="402"/>
      <c r="G125" s="402"/>
      <c r="H125" s="402"/>
      <c r="I125" s="402"/>
      <c r="J125" s="402"/>
      <c r="K125" s="402"/>
      <c r="L125" s="452"/>
    </row>
    <row r="126" spans="1:12" ht="18.75" x14ac:dyDescent="0.25">
      <c r="A126" s="455"/>
      <c r="B126" s="402"/>
      <c r="C126" s="402"/>
      <c r="D126" s="402"/>
      <c r="E126" s="402"/>
      <c r="F126" s="402"/>
      <c r="G126" s="402"/>
      <c r="H126" s="402"/>
      <c r="I126" s="402"/>
      <c r="J126" s="402"/>
      <c r="K126" s="402"/>
      <c r="L126" s="452"/>
    </row>
  </sheetData>
  <sheetProtection algorithmName="SHA-512" hashValue="yAtUO/942IsxUvlqoaDtHLwdmC4Fp/PDFhgYLJi5kKw0V2j/yNJFOWSC8E+Z98OnHHVeAw9NXG9rlxEs97l0cw==" saltValue="AW3vkJPf7KFbbsVRsbaPrA==" spinCount="100000" sheet="1" objects="1" scenarios="1"/>
  <mergeCells count="271">
    <mergeCell ref="C1:J6"/>
    <mergeCell ref="K1:L6"/>
    <mergeCell ref="A7:C7"/>
    <mergeCell ref="A9:B9"/>
    <mergeCell ref="E9:F9"/>
    <mergeCell ref="I9:J9"/>
    <mergeCell ref="A16:D16"/>
    <mergeCell ref="E16:H16"/>
    <mergeCell ref="I16:L16"/>
    <mergeCell ref="A17:D17"/>
    <mergeCell ref="E17:H17"/>
    <mergeCell ref="I17:L17"/>
    <mergeCell ref="A11:B11"/>
    <mergeCell ref="E11:F11"/>
    <mergeCell ref="I11:J11"/>
    <mergeCell ref="A13:L14"/>
    <mergeCell ref="A15:D15"/>
    <mergeCell ref="E15:H15"/>
    <mergeCell ref="I15:L15"/>
    <mergeCell ref="A20:D20"/>
    <mergeCell ref="E20:H20"/>
    <mergeCell ref="I20:L20"/>
    <mergeCell ref="A21:D21"/>
    <mergeCell ref="E21:H21"/>
    <mergeCell ref="I21:L21"/>
    <mergeCell ref="A18:D18"/>
    <mergeCell ref="E18:H18"/>
    <mergeCell ref="I18:L18"/>
    <mergeCell ref="A19:D19"/>
    <mergeCell ref="E19:H19"/>
    <mergeCell ref="I19:L19"/>
    <mergeCell ref="A24:D24"/>
    <mergeCell ref="E24:H24"/>
    <mergeCell ref="I24:L24"/>
    <mergeCell ref="A25:D25"/>
    <mergeCell ref="E25:H25"/>
    <mergeCell ref="I25:L25"/>
    <mergeCell ref="A22:D22"/>
    <mergeCell ref="E22:H22"/>
    <mergeCell ref="I22:L22"/>
    <mergeCell ref="A23:D23"/>
    <mergeCell ref="E23:H23"/>
    <mergeCell ref="I23:L23"/>
    <mergeCell ref="A28:D28"/>
    <mergeCell ref="E28:H28"/>
    <mergeCell ref="I28:L28"/>
    <mergeCell ref="A29:D29"/>
    <mergeCell ref="E29:H29"/>
    <mergeCell ref="I29:L29"/>
    <mergeCell ref="A26:D26"/>
    <mergeCell ref="E26:H26"/>
    <mergeCell ref="I26:L26"/>
    <mergeCell ref="A27:D27"/>
    <mergeCell ref="E27:H27"/>
    <mergeCell ref="I27:L27"/>
    <mergeCell ref="A32:D32"/>
    <mergeCell ref="E32:H32"/>
    <mergeCell ref="I32:L32"/>
    <mergeCell ref="A33:D33"/>
    <mergeCell ref="E33:H33"/>
    <mergeCell ref="I33:L33"/>
    <mergeCell ref="A30:D30"/>
    <mergeCell ref="E30:H30"/>
    <mergeCell ref="I30:L30"/>
    <mergeCell ref="A31:D31"/>
    <mergeCell ref="E31:H31"/>
    <mergeCell ref="I31:L31"/>
    <mergeCell ref="A36:D36"/>
    <mergeCell ref="E36:H36"/>
    <mergeCell ref="I36:L36"/>
    <mergeCell ref="A37:D37"/>
    <mergeCell ref="E37:H37"/>
    <mergeCell ref="I37:L37"/>
    <mergeCell ref="A34:D34"/>
    <mergeCell ref="E34:H34"/>
    <mergeCell ref="I34:L34"/>
    <mergeCell ref="A35:D35"/>
    <mergeCell ref="E35:H35"/>
    <mergeCell ref="I35:L35"/>
    <mergeCell ref="A40:D40"/>
    <mergeCell ref="E40:H40"/>
    <mergeCell ref="I40:L40"/>
    <mergeCell ref="A41:D41"/>
    <mergeCell ref="E41:H41"/>
    <mergeCell ref="I41:L41"/>
    <mergeCell ref="A38:D38"/>
    <mergeCell ref="E38:H38"/>
    <mergeCell ref="I38:L38"/>
    <mergeCell ref="A39:D39"/>
    <mergeCell ref="E39:H39"/>
    <mergeCell ref="I39:L39"/>
    <mergeCell ref="A44:D44"/>
    <mergeCell ref="E44:H44"/>
    <mergeCell ref="I44:L44"/>
    <mergeCell ref="A45:D45"/>
    <mergeCell ref="E45:H45"/>
    <mergeCell ref="I45:L45"/>
    <mergeCell ref="A42:D42"/>
    <mergeCell ref="E42:H42"/>
    <mergeCell ref="I42:L42"/>
    <mergeCell ref="A43:D43"/>
    <mergeCell ref="E43:H43"/>
    <mergeCell ref="I43:L43"/>
    <mergeCell ref="A48:D48"/>
    <mergeCell ref="E48:H48"/>
    <mergeCell ref="I48:L48"/>
    <mergeCell ref="A49:D49"/>
    <mergeCell ref="E49:H49"/>
    <mergeCell ref="I49:L49"/>
    <mergeCell ref="A46:D46"/>
    <mergeCell ref="E46:H46"/>
    <mergeCell ref="I46:L46"/>
    <mergeCell ref="A47:D47"/>
    <mergeCell ref="E47:H47"/>
    <mergeCell ref="I47:L47"/>
    <mergeCell ref="A52:D52"/>
    <mergeCell ref="E52:H52"/>
    <mergeCell ref="I52:L52"/>
    <mergeCell ref="A53:D53"/>
    <mergeCell ref="E53:H53"/>
    <mergeCell ref="I53:L53"/>
    <mergeCell ref="A50:D50"/>
    <mergeCell ref="E50:H50"/>
    <mergeCell ref="I50:L50"/>
    <mergeCell ref="A51:D51"/>
    <mergeCell ref="E51:H51"/>
    <mergeCell ref="I51:L51"/>
    <mergeCell ref="A56:D56"/>
    <mergeCell ref="E56:H56"/>
    <mergeCell ref="I56:L56"/>
    <mergeCell ref="A57:D57"/>
    <mergeCell ref="E57:H57"/>
    <mergeCell ref="I57:L57"/>
    <mergeCell ref="A54:D54"/>
    <mergeCell ref="E54:H54"/>
    <mergeCell ref="I54:L54"/>
    <mergeCell ref="A55:D55"/>
    <mergeCell ref="E55:H55"/>
    <mergeCell ref="I55:L55"/>
    <mergeCell ref="A60:D60"/>
    <mergeCell ref="E60:H60"/>
    <mergeCell ref="I60:L60"/>
    <mergeCell ref="A61:D61"/>
    <mergeCell ref="E61:H61"/>
    <mergeCell ref="I61:L61"/>
    <mergeCell ref="A58:D58"/>
    <mergeCell ref="E58:H58"/>
    <mergeCell ref="I58:L58"/>
    <mergeCell ref="A59:D59"/>
    <mergeCell ref="E59:H59"/>
    <mergeCell ref="I59:L59"/>
    <mergeCell ref="A64:D64"/>
    <mergeCell ref="E64:H64"/>
    <mergeCell ref="I64:L64"/>
    <mergeCell ref="A65:D65"/>
    <mergeCell ref="E65:H65"/>
    <mergeCell ref="I65:L65"/>
    <mergeCell ref="A62:D62"/>
    <mergeCell ref="E62:H62"/>
    <mergeCell ref="I62:L62"/>
    <mergeCell ref="A63:D63"/>
    <mergeCell ref="E63:H63"/>
    <mergeCell ref="I63:L63"/>
    <mergeCell ref="A68:D68"/>
    <mergeCell ref="E68:H68"/>
    <mergeCell ref="I68:L68"/>
    <mergeCell ref="A69:D69"/>
    <mergeCell ref="E69:H69"/>
    <mergeCell ref="I69:L69"/>
    <mergeCell ref="A66:D66"/>
    <mergeCell ref="E66:H66"/>
    <mergeCell ref="I66:L66"/>
    <mergeCell ref="A67:D67"/>
    <mergeCell ref="E67:H67"/>
    <mergeCell ref="I67:L67"/>
    <mergeCell ref="A72:D72"/>
    <mergeCell ref="E72:H72"/>
    <mergeCell ref="I72:L72"/>
    <mergeCell ref="A73:D73"/>
    <mergeCell ref="E73:H73"/>
    <mergeCell ref="I73:L73"/>
    <mergeCell ref="A70:D70"/>
    <mergeCell ref="E70:H70"/>
    <mergeCell ref="I70:L70"/>
    <mergeCell ref="A71:D71"/>
    <mergeCell ref="E71:H71"/>
    <mergeCell ref="I71:L71"/>
    <mergeCell ref="A76:D76"/>
    <mergeCell ref="E76:H76"/>
    <mergeCell ref="I76:L76"/>
    <mergeCell ref="A77:D77"/>
    <mergeCell ref="E77:H77"/>
    <mergeCell ref="I77:L77"/>
    <mergeCell ref="A74:D74"/>
    <mergeCell ref="E74:H74"/>
    <mergeCell ref="I74:L74"/>
    <mergeCell ref="A75:D75"/>
    <mergeCell ref="E75:H75"/>
    <mergeCell ref="I75:L75"/>
    <mergeCell ref="A80:D80"/>
    <mergeCell ref="E80:H80"/>
    <mergeCell ref="I80:L80"/>
    <mergeCell ref="A81:D81"/>
    <mergeCell ref="E81:H81"/>
    <mergeCell ref="I81:L81"/>
    <mergeCell ref="A78:D78"/>
    <mergeCell ref="E78:H78"/>
    <mergeCell ref="I78:L78"/>
    <mergeCell ref="A79:D79"/>
    <mergeCell ref="E79:H79"/>
    <mergeCell ref="I79:L79"/>
    <mergeCell ref="A84:D84"/>
    <mergeCell ref="E84:H84"/>
    <mergeCell ref="I84:L84"/>
    <mergeCell ref="A85:D85"/>
    <mergeCell ref="E85:H85"/>
    <mergeCell ref="I85:L85"/>
    <mergeCell ref="A82:D82"/>
    <mergeCell ref="E82:H82"/>
    <mergeCell ref="I82:L82"/>
    <mergeCell ref="A83:D83"/>
    <mergeCell ref="E83:H83"/>
    <mergeCell ref="I83:L83"/>
    <mergeCell ref="A88:D88"/>
    <mergeCell ref="E88:H88"/>
    <mergeCell ref="I88:L88"/>
    <mergeCell ref="A89:D89"/>
    <mergeCell ref="E89:H89"/>
    <mergeCell ref="I89:L89"/>
    <mergeCell ref="A86:D86"/>
    <mergeCell ref="E86:H86"/>
    <mergeCell ref="I86:L86"/>
    <mergeCell ref="A87:D87"/>
    <mergeCell ref="E87:H87"/>
    <mergeCell ref="I87:L87"/>
    <mergeCell ref="A92:D92"/>
    <mergeCell ref="E92:H92"/>
    <mergeCell ref="I92:L92"/>
    <mergeCell ref="A93:D93"/>
    <mergeCell ref="E93:H93"/>
    <mergeCell ref="I93:L93"/>
    <mergeCell ref="A90:D90"/>
    <mergeCell ref="E90:H90"/>
    <mergeCell ref="I90:L90"/>
    <mergeCell ref="A91:D91"/>
    <mergeCell ref="E91:H91"/>
    <mergeCell ref="I91:L91"/>
    <mergeCell ref="A96:D96"/>
    <mergeCell ref="E96:H96"/>
    <mergeCell ref="I96:L96"/>
    <mergeCell ref="A97:D97"/>
    <mergeCell ref="E97:H97"/>
    <mergeCell ref="I97:L97"/>
    <mergeCell ref="A94:D94"/>
    <mergeCell ref="E94:H94"/>
    <mergeCell ref="I94:L94"/>
    <mergeCell ref="A95:D95"/>
    <mergeCell ref="E95:H95"/>
    <mergeCell ref="I95:L95"/>
    <mergeCell ref="A100:D100"/>
    <mergeCell ref="E100:H100"/>
    <mergeCell ref="I100:L100"/>
    <mergeCell ref="A101:D101"/>
    <mergeCell ref="E101:H101"/>
    <mergeCell ref="I101:L101"/>
    <mergeCell ref="A98:D98"/>
    <mergeCell ref="E98:H98"/>
    <mergeCell ref="I98:L98"/>
    <mergeCell ref="A99:D99"/>
    <mergeCell ref="E99:H99"/>
    <mergeCell ref="I99:L9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D582-009D-4E74-8B71-C33F2FD9F4DC}">
  <dimension ref="A1:AO230"/>
  <sheetViews>
    <sheetView workbookViewId="0">
      <pane ySplit="21" topLeftCell="A27" activePane="bottomLeft" state="frozen"/>
      <selection pane="bottomLeft" activeCell="S46" sqref="S46:U46"/>
    </sheetView>
  </sheetViews>
  <sheetFormatPr defaultColWidth="0" defaultRowHeight="15" customHeight="1" zeroHeight="1" x14ac:dyDescent="0.2"/>
  <cols>
    <col min="1" max="1" width="10.89453125" customWidth="1"/>
    <col min="2" max="2" width="20.4453125" customWidth="1"/>
    <col min="3" max="3" width="3.09375" customWidth="1"/>
    <col min="4" max="4" width="4.03515625" customWidth="1"/>
    <col min="5" max="5" width="4.5703125" customWidth="1"/>
    <col min="6" max="6" width="16.0078125" customWidth="1"/>
    <col min="7" max="7" width="13.1796875" customWidth="1"/>
    <col min="8" max="8" width="2.95703125" style="330" customWidth="1"/>
    <col min="9" max="9" width="16.8125" customWidth="1"/>
    <col min="10" max="23" width="12.64453125" customWidth="1"/>
    <col min="24" max="24" width="9.68359375" customWidth="1"/>
    <col min="25" max="25" width="2.015625" customWidth="1"/>
    <col min="26" max="41" width="12.64453125" hidden="1" customWidth="1"/>
  </cols>
  <sheetData>
    <row r="1" spans="1:41" ht="20.25" customHeight="1" x14ac:dyDescent="0.3">
      <c r="A1" s="403" t="str">
        <f>HYPERLINK("#'Table of Contents'!A1", "🏠 Return")</f>
        <v>🏠 Return</v>
      </c>
      <c r="B1" s="529" t="s">
        <v>22</v>
      </c>
      <c r="C1" s="529"/>
      <c r="D1" s="529"/>
      <c r="E1" s="529"/>
      <c r="F1" s="529"/>
      <c r="G1" s="529"/>
      <c r="H1" s="530" t="s">
        <v>23</v>
      </c>
      <c r="I1" s="529"/>
      <c r="J1" s="529"/>
      <c r="K1" s="529"/>
      <c r="L1" s="531"/>
      <c r="M1" s="532" t="s">
        <v>24</v>
      </c>
      <c r="N1" s="533"/>
      <c r="O1" s="533"/>
      <c r="P1" s="534"/>
      <c r="Q1" s="530" t="s">
        <v>25</v>
      </c>
      <c r="R1" s="529"/>
      <c r="S1" s="529"/>
      <c r="T1" s="531"/>
      <c r="U1" s="532" t="s">
        <v>24</v>
      </c>
      <c r="V1" s="533"/>
      <c r="W1" s="533"/>
      <c r="X1" s="535"/>
      <c r="Y1" s="356"/>
      <c r="Z1" s="356"/>
      <c r="AA1" s="356"/>
      <c r="AB1" s="356"/>
      <c r="AC1" s="356"/>
      <c r="AD1" s="356"/>
      <c r="AE1" s="356"/>
      <c r="AF1" s="356"/>
      <c r="AG1" s="356"/>
      <c r="AH1" s="356"/>
      <c r="AI1" s="356"/>
      <c r="AJ1" s="356"/>
      <c r="AK1" s="356"/>
      <c r="AL1" s="356"/>
      <c r="AM1" s="356"/>
      <c r="AN1" s="356"/>
      <c r="AO1" s="356"/>
    </row>
    <row r="2" spans="1:41" s="10" customFormat="1" ht="16.5" customHeight="1" x14ac:dyDescent="0.2">
      <c r="A2" s="368" t="s">
        <v>26</v>
      </c>
      <c r="B2" s="536"/>
      <c r="C2" s="536"/>
      <c r="D2" s="536"/>
      <c r="E2" s="536"/>
      <c r="F2" s="536"/>
      <c r="G2" s="536"/>
      <c r="H2" s="538" t="s">
        <v>27</v>
      </c>
      <c r="I2" s="539"/>
      <c r="J2" s="539"/>
      <c r="K2" s="539"/>
      <c r="L2" s="540"/>
      <c r="M2" s="544" t="s">
        <v>28</v>
      </c>
      <c r="N2" s="545"/>
      <c r="O2" s="545"/>
      <c r="P2" s="546"/>
      <c r="Q2" s="550" t="s">
        <v>29</v>
      </c>
      <c r="R2" s="551"/>
      <c r="S2" s="551"/>
      <c r="T2" s="552"/>
      <c r="U2" s="544" t="s">
        <v>28</v>
      </c>
      <c r="V2" s="545"/>
      <c r="W2" s="545"/>
      <c r="X2" s="556"/>
      <c r="Y2" s="357"/>
      <c r="Z2" s="357"/>
      <c r="AA2" s="357"/>
      <c r="AB2" s="357"/>
      <c r="AC2" s="357"/>
      <c r="AD2" s="357"/>
      <c r="AE2" s="357"/>
      <c r="AF2" s="357"/>
      <c r="AG2" s="357"/>
      <c r="AH2" s="357"/>
      <c r="AI2" s="357"/>
      <c r="AJ2" s="357"/>
      <c r="AK2" s="357"/>
      <c r="AL2" s="357"/>
      <c r="AM2" s="357"/>
      <c r="AN2" s="357"/>
      <c r="AO2" s="357"/>
    </row>
    <row r="3" spans="1:41" s="10" customFormat="1" ht="16.5" customHeight="1" x14ac:dyDescent="0.2">
      <c r="A3" s="380">
        <f>COUNTA(B22:B115)</f>
        <v>36</v>
      </c>
      <c r="B3" s="537"/>
      <c r="C3" s="537"/>
      <c r="D3" s="537"/>
      <c r="E3" s="537"/>
      <c r="F3" s="537"/>
      <c r="G3" s="537"/>
      <c r="H3" s="541"/>
      <c r="I3" s="542"/>
      <c r="J3" s="542"/>
      <c r="K3" s="542"/>
      <c r="L3" s="543"/>
      <c r="M3" s="547"/>
      <c r="N3" s="548"/>
      <c r="O3" s="548"/>
      <c r="P3" s="549"/>
      <c r="Q3" s="553"/>
      <c r="R3" s="554"/>
      <c r="S3" s="554"/>
      <c r="T3" s="555"/>
      <c r="U3" s="547"/>
      <c r="V3" s="548"/>
      <c r="W3" s="548"/>
      <c r="X3" s="557"/>
      <c r="Y3" s="357"/>
      <c r="Z3" s="357"/>
      <c r="AA3" s="357"/>
      <c r="AB3" s="357"/>
      <c r="AC3" s="357"/>
      <c r="AD3" s="357"/>
      <c r="AE3" s="357"/>
      <c r="AF3" s="357"/>
      <c r="AG3" s="357"/>
      <c r="AH3" s="357"/>
      <c r="AI3" s="357"/>
      <c r="AJ3" s="357"/>
      <c r="AK3" s="357"/>
      <c r="AL3" s="357"/>
      <c r="AM3" s="357"/>
      <c r="AN3" s="357"/>
      <c r="AO3" s="357"/>
    </row>
    <row r="4" spans="1:41" ht="17.25" customHeight="1" x14ac:dyDescent="0.2">
      <c r="A4" s="379" t="s">
        <v>30</v>
      </c>
      <c r="B4" s="558"/>
      <c r="C4" s="558"/>
      <c r="D4" s="558"/>
      <c r="E4" s="558"/>
      <c r="F4" s="558"/>
      <c r="G4" s="558"/>
      <c r="H4" s="560" t="s">
        <v>31</v>
      </c>
      <c r="I4" s="561"/>
      <c r="J4" s="561"/>
      <c r="K4" s="561"/>
      <c r="L4" s="562"/>
      <c r="M4" s="566" t="s">
        <v>28</v>
      </c>
      <c r="N4" s="567"/>
      <c r="O4" s="567"/>
      <c r="P4" s="568"/>
      <c r="Q4" s="572" t="s">
        <v>32</v>
      </c>
      <c r="R4" s="573"/>
      <c r="S4" s="573"/>
      <c r="T4" s="574"/>
      <c r="U4" s="578" t="s">
        <v>28</v>
      </c>
      <c r="V4" s="579"/>
      <c r="W4" s="579"/>
      <c r="X4" s="580"/>
      <c r="Y4" s="358"/>
      <c r="Z4" s="358"/>
      <c r="AA4" s="358"/>
      <c r="AB4" s="358"/>
      <c r="AC4" s="358"/>
      <c r="AD4" s="358"/>
      <c r="AE4" s="358"/>
      <c r="AF4" s="358"/>
      <c r="AG4" s="358"/>
      <c r="AH4" s="358"/>
      <c r="AI4" s="358"/>
      <c r="AJ4" s="358"/>
      <c r="AK4" s="358"/>
      <c r="AL4" s="358"/>
      <c r="AM4" s="358"/>
      <c r="AN4" s="358"/>
      <c r="AO4" s="358"/>
    </row>
    <row r="5" spans="1:41" ht="16.5" customHeight="1" x14ac:dyDescent="0.2">
      <c r="A5" s="369">
        <f>COUNTIF(H22:H161, 1)</f>
        <v>0</v>
      </c>
      <c r="B5" s="559"/>
      <c r="C5" s="559"/>
      <c r="D5" s="559"/>
      <c r="E5" s="559"/>
      <c r="F5" s="559"/>
      <c r="G5" s="559"/>
      <c r="H5" s="563"/>
      <c r="I5" s="564"/>
      <c r="J5" s="564"/>
      <c r="K5" s="564"/>
      <c r="L5" s="565"/>
      <c r="M5" s="569"/>
      <c r="N5" s="570"/>
      <c r="O5" s="570"/>
      <c r="P5" s="571"/>
      <c r="Q5" s="575"/>
      <c r="R5" s="576"/>
      <c r="S5" s="576"/>
      <c r="T5" s="577"/>
      <c r="U5" s="581"/>
      <c r="V5" s="582"/>
      <c r="W5" s="582"/>
      <c r="X5" s="583"/>
      <c r="Y5" s="358"/>
      <c r="Z5" s="358"/>
      <c r="AA5" s="358"/>
      <c r="AB5" s="358"/>
      <c r="AC5" s="358"/>
      <c r="AD5" s="358"/>
      <c r="AE5" s="358"/>
      <c r="AF5" s="358"/>
      <c r="AG5" s="358"/>
      <c r="AH5" s="358"/>
      <c r="AI5" s="358"/>
      <c r="AJ5" s="358"/>
      <c r="AK5" s="358"/>
      <c r="AL5" s="358"/>
      <c r="AM5" s="358"/>
      <c r="AN5" s="358"/>
      <c r="AO5" s="358"/>
    </row>
    <row r="6" spans="1:41" s="10" customFormat="1" ht="18" customHeight="1" x14ac:dyDescent="0.2">
      <c r="A6" s="378">
        <f>COUNTIF(H22:H131, 1)/$A$3</f>
        <v>0</v>
      </c>
      <c r="B6" s="584"/>
      <c r="C6" s="584"/>
      <c r="D6" s="584"/>
      <c r="E6" s="584"/>
      <c r="F6" s="584"/>
      <c r="G6" s="584"/>
      <c r="H6" s="585" t="s">
        <v>33</v>
      </c>
      <c r="I6" s="586"/>
      <c r="J6" s="586"/>
      <c r="K6" s="586"/>
      <c r="L6" s="587"/>
      <c r="M6" s="588" t="s">
        <v>28</v>
      </c>
      <c r="N6" s="589"/>
      <c r="O6" s="589"/>
      <c r="P6" s="590"/>
      <c r="Q6" s="591" t="s">
        <v>34</v>
      </c>
      <c r="R6" s="592"/>
      <c r="S6" s="592"/>
      <c r="T6" s="593"/>
      <c r="U6" s="544" t="s">
        <v>28</v>
      </c>
      <c r="V6" s="545"/>
      <c r="W6" s="545"/>
      <c r="X6" s="556"/>
      <c r="Y6" s="357"/>
      <c r="Z6" s="357"/>
      <c r="AA6" s="357"/>
      <c r="AB6" s="357"/>
      <c r="AC6" s="357"/>
      <c r="AD6" s="357"/>
      <c r="AE6" s="357"/>
      <c r="AF6" s="357"/>
      <c r="AG6" s="357"/>
      <c r="AH6" s="357"/>
      <c r="AI6" s="357"/>
      <c r="AJ6" s="357"/>
      <c r="AK6" s="357"/>
      <c r="AL6" s="357"/>
      <c r="AM6" s="357"/>
      <c r="AN6" s="357"/>
      <c r="AO6" s="357"/>
    </row>
    <row r="7" spans="1:41" s="10" customFormat="1" ht="16.5" customHeight="1" x14ac:dyDescent="0.2">
      <c r="A7" s="377" t="s">
        <v>35</v>
      </c>
      <c r="B7" s="537"/>
      <c r="C7" s="537"/>
      <c r="D7" s="537"/>
      <c r="E7" s="537"/>
      <c r="F7" s="537"/>
      <c r="G7" s="537"/>
      <c r="H7" s="541"/>
      <c r="I7" s="542"/>
      <c r="J7" s="542"/>
      <c r="K7" s="542"/>
      <c r="L7" s="543"/>
      <c r="M7" s="547"/>
      <c r="N7" s="548"/>
      <c r="O7" s="548"/>
      <c r="P7" s="549"/>
      <c r="Q7" s="553"/>
      <c r="R7" s="554"/>
      <c r="S7" s="554"/>
      <c r="T7" s="555"/>
      <c r="U7" s="547"/>
      <c r="V7" s="548"/>
      <c r="W7" s="548"/>
      <c r="X7" s="557"/>
      <c r="Y7" s="357"/>
      <c r="Z7" s="357"/>
      <c r="AA7" s="357"/>
      <c r="AB7" s="357"/>
      <c r="AC7" s="357"/>
      <c r="AD7" s="357"/>
      <c r="AE7" s="357"/>
      <c r="AF7" s="357"/>
      <c r="AG7" s="357"/>
      <c r="AH7" s="357"/>
      <c r="AI7" s="357"/>
      <c r="AJ7" s="357"/>
      <c r="AK7" s="357"/>
      <c r="AL7" s="357"/>
      <c r="AM7" s="357"/>
      <c r="AN7" s="357"/>
      <c r="AO7" s="357"/>
    </row>
    <row r="8" spans="1:41" ht="16.5" customHeight="1" x14ac:dyDescent="0.2">
      <c r="A8" s="370">
        <f>COUNTIF(H22:H161, 2)</f>
        <v>6</v>
      </c>
      <c r="B8" s="594"/>
      <c r="C8" s="594"/>
      <c r="D8" s="594"/>
      <c r="E8" s="594"/>
      <c r="F8" s="594"/>
      <c r="G8" s="594"/>
      <c r="H8" s="600" t="s">
        <v>36</v>
      </c>
      <c r="I8" s="601"/>
      <c r="J8" s="601"/>
      <c r="K8" s="601"/>
      <c r="L8" s="602"/>
      <c r="M8" s="596" t="s">
        <v>28</v>
      </c>
      <c r="N8" s="597"/>
      <c r="O8" s="597"/>
      <c r="P8" s="598"/>
      <c r="Q8" s="572" t="s">
        <v>37</v>
      </c>
      <c r="R8" s="573"/>
      <c r="S8" s="573"/>
      <c r="T8" s="574"/>
      <c r="U8" s="578" t="s">
        <v>28</v>
      </c>
      <c r="V8" s="579"/>
      <c r="W8" s="579"/>
      <c r="X8" s="580"/>
      <c r="Y8" s="358"/>
      <c r="Z8" s="358"/>
      <c r="AA8" s="358"/>
      <c r="AB8" s="358"/>
      <c r="AC8" s="358"/>
      <c r="AD8" s="358"/>
      <c r="AE8" s="358"/>
      <c r="AF8" s="358"/>
      <c r="AG8" s="358"/>
      <c r="AH8" s="358"/>
      <c r="AI8" s="358"/>
      <c r="AJ8" s="358"/>
      <c r="AK8" s="358"/>
      <c r="AL8" s="358"/>
      <c r="AM8" s="358"/>
      <c r="AN8" s="358"/>
      <c r="AO8" s="358"/>
    </row>
    <row r="9" spans="1:41" ht="16.5" customHeight="1" x14ac:dyDescent="0.2">
      <c r="A9" s="376">
        <f>COUNTIF(H22:H131, 2)/$A$3</f>
        <v>0.16666666666666666</v>
      </c>
      <c r="B9" s="595"/>
      <c r="C9" s="595"/>
      <c r="D9" s="595"/>
      <c r="E9" s="595"/>
      <c r="F9" s="595"/>
      <c r="G9" s="595"/>
      <c r="H9" s="603"/>
      <c r="I9" s="604"/>
      <c r="J9" s="604"/>
      <c r="K9" s="604"/>
      <c r="L9" s="605"/>
      <c r="M9" s="581"/>
      <c r="N9" s="582"/>
      <c r="O9" s="582"/>
      <c r="P9" s="599"/>
      <c r="Q9" s="575"/>
      <c r="R9" s="576"/>
      <c r="S9" s="576"/>
      <c r="T9" s="577"/>
      <c r="U9" s="581"/>
      <c r="V9" s="582"/>
      <c r="W9" s="582"/>
      <c r="X9" s="583"/>
      <c r="Y9" s="358"/>
      <c r="Z9" s="358"/>
      <c r="AA9" s="358"/>
      <c r="AB9" s="358"/>
      <c r="AC9" s="358"/>
      <c r="AD9" s="358"/>
      <c r="AE9" s="358"/>
      <c r="AF9" s="358"/>
      <c r="AG9" s="358"/>
      <c r="AH9" s="358"/>
      <c r="AI9" s="358"/>
      <c r="AJ9" s="358"/>
      <c r="AK9" s="358"/>
      <c r="AL9" s="358"/>
      <c r="AM9" s="358"/>
      <c r="AN9" s="358"/>
      <c r="AO9" s="358"/>
    </row>
    <row r="10" spans="1:41" s="10" customFormat="1" ht="18" customHeight="1" x14ac:dyDescent="0.2">
      <c r="A10" s="375" t="s">
        <v>38</v>
      </c>
      <c r="B10" s="536"/>
      <c r="C10" s="536"/>
      <c r="D10" s="536"/>
      <c r="E10" s="536"/>
      <c r="F10" s="536"/>
      <c r="G10" s="536"/>
      <c r="H10" s="585" t="s">
        <v>39</v>
      </c>
      <c r="I10" s="586"/>
      <c r="J10" s="586"/>
      <c r="K10" s="586"/>
      <c r="L10" s="587"/>
      <c r="M10" s="588" t="s">
        <v>28</v>
      </c>
      <c r="N10" s="589"/>
      <c r="O10" s="589"/>
      <c r="P10" s="590"/>
      <c r="Q10" s="606" t="s">
        <v>40</v>
      </c>
      <c r="R10" s="607"/>
      <c r="S10" s="607"/>
      <c r="T10" s="608"/>
      <c r="U10" s="544" t="s">
        <v>28</v>
      </c>
      <c r="V10" s="545"/>
      <c r="W10" s="545"/>
      <c r="X10" s="556"/>
      <c r="Y10" s="357"/>
      <c r="Z10" s="357"/>
      <c r="AA10" s="357"/>
      <c r="AB10" s="357"/>
      <c r="AC10" s="357"/>
      <c r="AD10" s="357"/>
      <c r="AE10" s="357"/>
      <c r="AF10" s="357"/>
      <c r="AG10" s="357"/>
      <c r="AH10" s="357"/>
      <c r="AI10" s="357"/>
      <c r="AJ10" s="357"/>
      <c r="AK10" s="357"/>
      <c r="AL10" s="357"/>
      <c r="AM10" s="357"/>
      <c r="AN10" s="357"/>
      <c r="AO10" s="357"/>
    </row>
    <row r="11" spans="1:41" s="10" customFormat="1" ht="16.5" customHeight="1" x14ac:dyDescent="0.2">
      <c r="A11" s="369">
        <f>SUM(A5,A8)</f>
        <v>6</v>
      </c>
      <c r="B11" s="537"/>
      <c r="C11" s="537"/>
      <c r="D11" s="537"/>
      <c r="E11" s="537"/>
      <c r="F11" s="537"/>
      <c r="G11" s="537"/>
      <c r="H11" s="541"/>
      <c r="I11" s="542"/>
      <c r="J11" s="542"/>
      <c r="K11" s="542"/>
      <c r="L11" s="543"/>
      <c r="M11" s="547"/>
      <c r="N11" s="548"/>
      <c r="O11" s="548"/>
      <c r="P11" s="549"/>
      <c r="Q11" s="609"/>
      <c r="R11" s="610"/>
      <c r="S11" s="610"/>
      <c r="T11" s="611"/>
      <c r="U11" s="547"/>
      <c r="V11" s="548"/>
      <c r="W11" s="548"/>
      <c r="X11" s="557"/>
      <c r="Y11" s="357"/>
      <c r="Z11" s="357"/>
      <c r="AA11" s="357"/>
      <c r="AB11" s="357"/>
      <c r="AC11" s="357"/>
      <c r="AD11" s="357"/>
      <c r="AE11" s="357"/>
      <c r="AF11" s="357"/>
      <c r="AG11" s="357"/>
      <c r="AH11" s="357"/>
      <c r="AI11" s="357"/>
      <c r="AJ11" s="357"/>
      <c r="AK11" s="357"/>
      <c r="AL11" s="357"/>
      <c r="AM11" s="357"/>
      <c r="AN11" s="357"/>
      <c r="AO11" s="357"/>
    </row>
    <row r="12" spans="1:41" s="328" customFormat="1" ht="16.5" customHeight="1" x14ac:dyDescent="0.2">
      <c r="A12" s="371">
        <f>SUM(A6,A9)</f>
        <v>0.16666666666666666</v>
      </c>
      <c r="B12" s="594"/>
      <c r="C12" s="594"/>
      <c r="D12" s="594"/>
      <c r="E12" s="594"/>
      <c r="F12" s="594"/>
      <c r="G12" s="594"/>
      <c r="H12" s="560" t="s">
        <v>41</v>
      </c>
      <c r="I12" s="561"/>
      <c r="J12" s="561"/>
      <c r="K12" s="561"/>
      <c r="L12" s="562"/>
      <c r="M12" s="596" t="s">
        <v>28</v>
      </c>
      <c r="N12" s="597"/>
      <c r="O12" s="597"/>
      <c r="P12" s="598"/>
      <c r="Q12" s="572" t="s">
        <v>42</v>
      </c>
      <c r="R12" s="573"/>
      <c r="S12" s="573"/>
      <c r="T12" s="574"/>
      <c r="U12" s="578" t="s">
        <v>28</v>
      </c>
      <c r="V12" s="579"/>
      <c r="W12" s="579"/>
      <c r="X12" s="580"/>
      <c r="Y12" s="358"/>
      <c r="Z12" s="358"/>
      <c r="AA12" s="358"/>
      <c r="AB12" s="358"/>
      <c r="AC12" s="358"/>
      <c r="AD12" s="358"/>
      <c r="AE12" s="358"/>
      <c r="AF12" s="358"/>
      <c r="AG12" s="358"/>
      <c r="AH12" s="358"/>
      <c r="AI12" s="358"/>
      <c r="AJ12" s="358"/>
      <c r="AK12" s="358"/>
      <c r="AL12" s="358"/>
      <c r="AM12" s="358"/>
      <c r="AN12" s="358"/>
      <c r="AO12" s="358"/>
    </row>
    <row r="13" spans="1:41" s="328" customFormat="1" ht="15.75" customHeight="1" x14ac:dyDescent="0.2">
      <c r="A13" s="385"/>
      <c r="B13" s="595"/>
      <c r="C13" s="595"/>
      <c r="D13" s="595"/>
      <c r="E13" s="595"/>
      <c r="F13" s="595"/>
      <c r="G13" s="595"/>
      <c r="H13" s="563"/>
      <c r="I13" s="564"/>
      <c r="J13" s="564"/>
      <c r="K13" s="564"/>
      <c r="L13" s="565"/>
      <c r="M13" s="581"/>
      <c r="N13" s="582"/>
      <c r="O13" s="582"/>
      <c r="P13" s="599"/>
      <c r="Q13" s="575"/>
      <c r="R13" s="576"/>
      <c r="S13" s="576"/>
      <c r="T13" s="577"/>
      <c r="U13" s="581"/>
      <c r="V13" s="582"/>
      <c r="W13" s="582"/>
      <c r="X13" s="583"/>
      <c r="Y13" s="358"/>
      <c r="Z13" s="358"/>
      <c r="AA13" s="358"/>
      <c r="AB13" s="358"/>
      <c r="AC13" s="358"/>
      <c r="AD13" s="358"/>
      <c r="AE13" s="358"/>
      <c r="AF13" s="358"/>
      <c r="AG13" s="358"/>
      <c r="AH13" s="358"/>
      <c r="AI13" s="358"/>
      <c r="AJ13" s="358"/>
      <c r="AK13" s="358"/>
      <c r="AL13" s="358"/>
      <c r="AM13" s="358"/>
      <c r="AN13" s="358"/>
      <c r="AO13" s="358"/>
    </row>
    <row r="14" spans="1:41" s="10" customFormat="1" ht="15.75" customHeight="1" x14ac:dyDescent="0.2">
      <c r="A14" s="373" t="s">
        <v>43</v>
      </c>
      <c r="B14" s="584"/>
      <c r="C14" s="584"/>
      <c r="D14" s="584"/>
      <c r="E14" s="584"/>
      <c r="F14" s="584"/>
      <c r="G14" s="584"/>
      <c r="H14" s="585" t="s">
        <v>44</v>
      </c>
      <c r="I14" s="586"/>
      <c r="J14" s="586"/>
      <c r="K14" s="586"/>
      <c r="L14" s="587"/>
      <c r="M14" s="588" t="s">
        <v>28</v>
      </c>
      <c r="N14" s="589"/>
      <c r="O14" s="589"/>
      <c r="P14" s="590"/>
      <c r="Q14" s="591" t="s">
        <v>45</v>
      </c>
      <c r="R14" s="592"/>
      <c r="S14" s="592"/>
      <c r="T14" s="593"/>
      <c r="U14" s="544" t="s">
        <v>28</v>
      </c>
      <c r="V14" s="545"/>
      <c r="W14" s="545"/>
      <c r="X14" s="556"/>
      <c r="Y14" s="357"/>
      <c r="Z14" s="357"/>
      <c r="AA14" s="357"/>
      <c r="AB14" s="357"/>
      <c r="AC14" s="357"/>
      <c r="AD14" s="357"/>
      <c r="AE14" s="357"/>
      <c r="AF14" s="357"/>
      <c r="AG14" s="357"/>
      <c r="AH14" s="357"/>
      <c r="AI14" s="357"/>
      <c r="AJ14" s="357"/>
      <c r="AK14" s="357"/>
      <c r="AL14" s="357"/>
      <c r="AM14" s="357"/>
      <c r="AN14" s="357"/>
      <c r="AO14" s="357"/>
    </row>
    <row r="15" spans="1:41" s="10" customFormat="1" ht="17.25" customHeight="1" x14ac:dyDescent="0.2">
      <c r="A15" s="372"/>
      <c r="B15" s="537"/>
      <c r="C15" s="537"/>
      <c r="D15" s="537"/>
      <c r="E15" s="537"/>
      <c r="F15" s="537"/>
      <c r="G15" s="537"/>
      <c r="H15" s="541"/>
      <c r="I15" s="542"/>
      <c r="J15" s="542"/>
      <c r="K15" s="542"/>
      <c r="L15" s="543"/>
      <c r="M15" s="547"/>
      <c r="N15" s="548"/>
      <c r="O15" s="548"/>
      <c r="P15" s="549"/>
      <c r="Q15" s="553"/>
      <c r="R15" s="554"/>
      <c r="S15" s="554"/>
      <c r="T15" s="555"/>
      <c r="U15" s="547"/>
      <c r="V15" s="548"/>
      <c r="W15" s="548"/>
      <c r="X15" s="557"/>
      <c r="Y15" s="357"/>
      <c r="Z15" s="357"/>
      <c r="AA15" s="357"/>
      <c r="AB15" s="357"/>
      <c r="AC15" s="357"/>
      <c r="AD15" s="357"/>
      <c r="AE15" s="357"/>
      <c r="AF15" s="357"/>
      <c r="AG15" s="357"/>
      <c r="AH15" s="357"/>
      <c r="AI15" s="357"/>
      <c r="AJ15" s="357"/>
      <c r="AK15" s="357"/>
      <c r="AL15" s="357"/>
      <c r="AM15" s="357"/>
      <c r="AN15" s="357"/>
      <c r="AO15" s="357"/>
    </row>
    <row r="16" spans="1:41" s="328" customFormat="1" ht="16.5" customHeight="1" x14ac:dyDescent="0.2">
      <c r="A16" s="372"/>
      <c r="B16" s="558"/>
      <c r="C16" s="558"/>
      <c r="D16" s="558"/>
      <c r="E16" s="558"/>
      <c r="F16" s="558"/>
      <c r="G16" s="558"/>
      <c r="H16" s="600"/>
      <c r="I16" s="601"/>
      <c r="J16" s="601"/>
      <c r="K16" s="601"/>
      <c r="L16" s="602"/>
      <c r="M16" s="596" t="s">
        <v>28</v>
      </c>
      <c r="N16" s="597"/>
      <c r="O16" s="597"/>
      <c r="P16" s="598"/>
      <c r="Q16" s="572" t="s">
        <v>46</v>
      </c>
      <c r="R16" s="573"/>
      <c r="S16" s="573"/>
      <c r="T16" s="574"/>
      <c r="U16" s="578" t="s">
        <v>28</v>
      </c>
      <c r="V16" s="579"/>
      <c r="W16" s="579"/>
      <c r="X16" s="580"/>
      <c r="Y16" s="358"/>
      <c r="Z16" s="358"/>
      <c r="AA16" s="358"/>
      <c r="AB16" s="358"/>
      <c r="AC16" s="358"/>
      <c r="AD16" s="358"/>
      <c r="AE16" s="358"/>
      <c r="AF16" s="358"/>
      <c r="AG16" s="358"/>
      <c r="AH16" s="358"/>
      <c r="AI16" s="358"/>
      <c r="AJ16" s="358"/>
      <c r="AK16" s="358"/>
      <c r="AL16" s="358"/>
      <c r="AM16" s="358"/>
      <c r="AN16" s="358"/>
      <c r="AO16" s="358"/>
    </row>
    <row r="17" spans="1:41" s="328" customFormat="1" ht="18" customHeight="1" x14ac:dyDescent="0.2">
      <c r="A17" s="373"/>
      <c r="B17" s="559"/>
      <c r="C17" s="559"/>
      <c r="D17" s="559"/>
      <c r="E17" s="559"/>
      <c r="F17" s="559"/>
      <c r="G17" s="559"/>
      <c r="H17" s="603"/>
      <c r="I17" s="604"/>
      <c r="J17" s="604"/>
      <c r="K17" s="604"/>
      <c r="L17" s="605"/>
      <c r="M17" s="581"/>
      <c r="N17" s="582"/>
      <c r="O17" s="582"/>
      <c r="P17" s="599"/>
      <c r="Q17" s="575"/>
      <c r="R17" s="576"/>
      <c r="S17" s="576"/>
      <c r="T17" s="577"/>
      <c r="U17" s="581"/>
      <c r="V17" s="582"/>
      <c r="W17" s="582"/>
      <c r="X17" s="583"/>
      <c r="Y17" s="358"/>
      <c r="Z17" s="358"/>
      <c r="AA17" s="358"/>
      <c r="AB17" s="358"/>
      <c r="AC17" s="358"/>
      <c r="AD17" s="358"/>
      <c r="AE17" s="358"/>
      <c r="AF17" s="358"/>
      <c r="AG17" s="358"/>
      <c r="AH17" s="358"/>
      <c r="AI17" s="358"/>
      <c r="AJ17" s="358"/>
      <c r="AK17" s="358"/>
      <c r="AL17" s="358"/>
      <c r="AM17" s="358"/>
      <c r="AN17" s="358"/>
      <c r="AO17" s="358"/>
    </row>
    <row r="18" spans="1:41" s="10" customFormat="1" ht="16.5" customHeight="1" x14ac:dyDescent="0.2">
      <c r="A18" s="373"/>
      <c r="B18" s="614"/>
      <c r="C18" s="614"/>
      <c r="D18" s="614"/>
      <c r="E18" s="614"/>
      <c r="F18" s="614"/>
      <c r="G18" s="614"/>
      <c r="H18" s="606"/>
      <c r="I18" s="607"/>
      <c r="J18" s="607"/>
      <c r="K18" s="607"/>
      <c r="L18" s="608"/>
      <c r="M18" s="588" t="s">
        <v>28</v>
      </c>
      <c r="N18" s="589"/>
      <c r="O18" s="589"/>
      <c r="P18" s="590"/>
      <c r="Q18" s="591"/>
      <c r="R18" s="592"/>
      <c r="S18" s="592"/>
      <c r="T18" s="593"/>
      <c r="U18" s="544" t="s">
        <v>28</v>
      </c>
      <c r="V18" s="545"/>
      <c r="W18" s="545"/>
      <c r="X18" s="556"/>
      <c r="Y18" s="357"/>
      <c r="Z18" s="357"/>
      <c r="AA18" s="357"/>
      <c r="AB18" s="357"/>
      <c r="AC18" s="357"/>
      <c r="AD18" s="357"/>
      <c r="AE18" s="357"/>
      <c r="AF18" s="357"/>
      <c r="AG18" s="357"/>
      <c r="AH18" s="357"/>
      <c r="AI18" s="357"/>
      <c r="AJ18" s="357"/>
      <c r="AK18" s="357"/>
      <c r="AL18" s="357"/>
      <c r="AM18" s="357"/>
      <c r="AN18" s="357"/>
      <c r="AO18" s="357"/>
    </row>
    <row r="19" spans="1:41" s="10" customFormat="1" ht="16.5" customHeight="1" x14ac:dyDescent="0.2">
      <c r="A19" s="374"/>
      <c r="B19" s="615"/>
      <c r="C19" s="615"/>
      <c r="D19" s="615"/>
      <c r="E19" s="615"/>
      <c r="F19" s="615"/>
      <c r="G19" s="615"/>
      <c r="H19" s="616"/>
      <c r="I19" s="617"/>
      <c r="J19" s="617"/>
      <c r="K19" s="617"/>
      <c r="L19" s="618"/>
      <c r="M19" s="619"/>
      <c r="N19" s="620"/>
      <c r="O19" s="620"/>
      <c r="P19" s="621"/>
      <c r="Q19" s="622"/>
      <c r="R19" s="623"/>
      <c r="S19" s="623"/>
      <c r="T19" s="624"/>
      <c r="U19" s="619"/>
      <c r="V19" s="620"/>
      <c r="W19" s="620"/>
      <c r="X19" s="625"/>
      <c r="Y19" s="357"/>
      <c r="Z19" s="357"/>
      <c r="AA19" s="357"/>
      <c r="AB19" s="357"/>
      <c r="AC19" s="357"/>
      <c r="AD19" s="357"/>
      <c r="AE19" s="357"/>
      <c r="AF19" s="357"/>
      <c r="AG19" s="357"/>
      <c r="AH19" s="357"/>
      <c r="AI19" s="357"/>
      <c r="AJ19" s="357"/>
      <c r="AK19" s="357"/>
      <c r="AL19" s="357"/>
      <c r="AM19" s="357"/>
      <c r="AN19" s="357"/>
      <c r="AO19" s="357"/>
    </row>
    <row r="20" spans="1:41" s="1" customFormat="1" ht="15" customHeight="1" x14ac:dyDescent="0.2">
      <c r="A20" s="626" t="s">
        <v>47</v>
      </c>
      <c r="B20" s="627" t="s">
        <v>48</v>
      </c>
      <c r="C20" s="628" t="s">
        <v>49</v>
      </c>
      <c r="D20" s="628" t="s">
        <v>50</v>
      </c>
      <c r="E20" s="628" t="s">
        <v>51</v>
      </c>
      <c r="F20" s="628" t="s">
        <v>52</v>
      </c>
      <c r="G20" s="628" t="s">
        <v>53</v>
      </c>
      <c r="H20" s="642" t="s">
        <v>54</v>
      </c>
      <c r="I20" s="643"/>
      <c r="J20" s="644" t="s">
        <v>55</v>
      </c>
      <c r="K20" s="645"/>
      <c r="L20" s="645"/>
      <c r="M20" s="646"/>
      <c r="N20" s="647" t="s">
        <v>56</v>
      </c>
      <c r="O20" s="647"/>
      <c r="P20" s="647"/>
      <c r="Q20" s="647"/>
      <c r="R20" s="647"/>
      <c r="S20" s="647"/>
      <c r="T20" s="647"/>
      <c r="U20" s="647"/>
      <c r="V20" s="647"/>
      <c r="W20" s="647"/>
      <c r="X20" s="648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pans="1:41" s="341" customFormat="1" ht="15" customHeight="1" x14ac:dyDescent="0.2">
      <c r="A21" s="626"/>
      <c r="B21" s="627"/>
      <c r="C21" s="628"/>
      <c r="D21" s="628"/>
      <c r="E21" s="628"/>
      <c r="F21" s="628"/>
      <c r="G21" s="628"/>
      <c r="H21" s="335"/>
      <c r="I21" s="367" t="s">
        <v>57</v>
      </c>
      <c r="J21" s="649" t="s">
        <v>58</v>
      </c>
      <c r="K21" s="612"/>
      <c r="L21" s="612"/>
      <c r="M21" s="612" t="s">
        <v>59</v>
      </c>
      <c r="N21" s="613"/>
      <c r="O21" s="613"/>
      <c r="P21" s="613" t="s">
        <v>60</v>
      </c>
      <c r="Q21" s="613"/>
      <c r="R21" s="613"/>
      <c r="S21" s="613" t="s">
        <v>61</v>
      </c>
      <c r="T21" s="613"/>
      <c r="U21" s="613"/>
      <c r="V21" s="613" t="s">
        <v>62</v>
      </c>
      <c r="W21" s="613"/>
      <c r="X21" s="634"/>
      <c r="Y21" s="359"/>
      <c r="Z21" s="359"/>
      <c r="AA21" s="359"/>
      <c r="AB21" s="359"/>
      <c r="AC21" s="359"/>
      <c r="AD21" s="359"/>
      <c r="AE21" s="359"/>
      <c r="AF21" s="359"/>
      <c r="AG21" s="359"/>
      <c r="AH21" s="359"/>
      <c r="AI21" s="359"/>
      <c r="AJ21" s="359"/>
      <c r="AK21" s="359"/>
      <c r="AL21" s="359"/>
      <c r="AM21" s="359"/>
      <c r="AN21" s="359"/>
      <c r="AO21" s="359"/>
    </row>
    <row r="22" spans="1:41" s="345" customFormat="1" x14ac:dyDescent="0.2">
      <c r="A22" s="635" t="s">
        <v>63</v>
      </c>
      <c r="B22" s="381" t="s">
        <v>64</v>
      </c>
      <c r="C22" s="363">
        <v>5</v>
      </c>
      <c r="D22" s="40"/>
      <c r="E22" s="365" t="s">
        <v>65</v>
      </c>
      <c r="F22" s="364" t="s">
        <v>66</v>
      </c>
      <c r="G22" s="364"/>
      <c r="H22" s="365"/>
      <c r="I22" s="366"/>
      <c r="J22" s="638"/>
      <c r="K22" s="639"/>
      <c r="L22" s="639"/>
      <c r="M22" s="639" t="s">
        <v>316</v>
      </c>
      <c r="N22" s="639"/>
      <c r="O22" s="639"/>
      <c r="P22" s="639" t="s">
        <v>67</v>
      </c>
      <c r="Q22" s="639"/>
      <c r="R22" s="639"/>
      <c r="S22" s="639" t="s">
        <v>68</v>
      </c>
      <c r="T22" s="639"/>
      <c r="U22" s="639"/>
      <c r="V22" s="639" t="s">
        <v>69</v>
      </c>
      <c r="W22" s="639"/>
      <c r="X22" s="640"/>
    </row>
    <row r="23" spans="1:41" s="1" customFormat="1" x14ac:dyDescent="0.2">
      <c r="A23" s="636"/>
      <c r="B23" s="382" t="s">
        <v>70</v>
      </c>
      <c r="C23" s="175">
        <v>2</v>
      </c>
      <c r="D23" s="14"/>
      <c r="E23" s="332" t="s">
        <v>71</v>
      </c>
      <c r="F23" s="3" t="s">
        <v>72</v>
      </c>
      <c r="G23" s="3"/>
      <c r="H23" s="332"/>
      <c r="I23" s="339"/>
      <c r="J23" s="641"/>
      <c r="K23" s="629"/>
      <c r="L23" s="629"/>
      <c r="M23" s="629" t="s">
        <v>34</v>
      </c>
      <c r="N23" s="629"/>
      <c r="O23" s="629"/>
      <c r="P23" s="629"/>
      <c r="Q23" s="629"/>
      <c r="R23" s="629"/>
      <c r="S23" s="629"/>
      <c r="T23" s="629"/>
      <c r="U23" s="629"/>
      <c r="V23" s="629"/>
      <c r="W23" s="629"/>
      <c r="X23" s="630"/>
    </row>
    <row r="24" spans="1:41" s="345" customFormat="1" x14ac:dyDescent="0.2">
      <c r="A24" s="636"/>
      <c r="B24" s="383" t="s">
        <v>73</v>
      </c>
      <c r="C24" s="346">
        <v>4</v>
      </c>
      <c r="D24" s="14"/>
      <c r="E24" s="347" t="s">
        <v>65</v>
      </c>
      <c r="F24" s="303"/>
      <c r="G24" s="303"/>
      <c r="H24" s="347"/>
      <c r="I24" s="348"/>
      <c r="J24" s="631"/>
      <c r="K24" s="632"/>
      <c r="L24" s="632"/>
      <c r="M24" s="632" t="s">
        <v>74</v>
      </c>
      <c r="N24" s="632"/>
      <c r="O24" s="632"/>
      <c r="P24" s="632"/>
      <c r="Q24" s="632"/>
      <c r="R24" s="632"/>
      <c r="S24" s="632"/>
      <c r="T24" s="632"/>
      <c r="U24" s="632"/>
      <c r="V24" s="632"/>
      <c r="W24" s="632"/>
      <c r="X24" s="633"/>
    </row>
    <row r="25" spans="1:41" s="1" customFormat="1" x14ac:dyDescent="0.2">
      <c r="A25" s="636"/>
      <c r="B25" s="382" t="s">
        <v>75</v>
      </c>
      <c r="C25" s="175">
        <v>1</v>
      </c>
      <c r="D25" s="14"/>
      <c r="E25" s="332" t="s">
        <v>71</v>
      </c>
      <c r="F25" s="3" t="s">
        <v>76</v>
      </c>
      <c r="G25" s="3"/>
      <c r="H25" s="332"/>
      <c r="I25" s="339"/>
      <c r="J25" s="641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30"/>
    </row>
    <row r="26" spans="1:41" s="345" customFormat="1" x14ac:dyDescent="0.2">
      <c r="A26" s="636"/>
      <c r="B26" s="383" t="s">
        <v>77</v>
      </c>
      <c r="C26" s="346">
        <v>2</v>
      </c>
      <c r="D26" s="43"/>
      <c r="E26" s="347" t="s">
        <v>71</v>
      </c>
      <c r="F26" s="303"/>
      <c r="G26" s="303"/>
      <c r="H26" s="347"/>
      <c r="I26" s="348"/>
      <c r="J26" s="631"/>
      <c r="K26" s="632"/>
      <c r="L26" s="632"/>
      <c r="M26" s="632" t="s">
        <v>78</v>
      </c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3"/>
    </row>
    <row r="27" spans="1:41" s="1" customFormat="1" x14ac:dyDescent="0.2">
      <c r="A27" s="636"/>
      <c r="B27" s="382" t="s">
        <v>79</v>
      </c>
      <c r="C27" s="175">
        <v>5</v>
      </c>
      <c r="D27" s="199"/>
      <c r="E27" s="332" t="s">
        <v>71</v>
      </c>
      <c r="F27" s="3"/>
      <c r="G27" s="3"/>
      <c r="H27" s="332"/>
      <c r="I27" s="339"/>
      <c r="J27" s="641"/>
      <c r="K27" s="629"/>
      <c r="L27" s="629"/>
      <c r="M27" s="629" t="s">
        <v>80</v>
      </c>
      <c r="N27" s="629"/>
      <c r="O27" s="629"/>
      <c r="P27" s="629"/>
      <c r="Q27" s="629"/>
      <c r="R27" s="629"/>
      <c r="S27" s="629" t="s">
        <v>81</v>
      </c>
      <c r="T27" s="629"/>
      <c r="U27" s="629"/>
      <c r="V27" s="629"/>
      <c r="W27" s="629"/>
      <c r="X27" s="630"/>
    </row>
    <row r="28" spans="1:41" s="345" customFormat="1" x14ac:dyDescent="0.2">
      <c r="A28" s="636"/>
      <c r="B28" s="383" t="s">
        <v>82</v>
      </c>
      <c r="C28" s="346">
        <v>2</v>
      </c>
      <c r="D28" s="14"/>
      <c r="E28" s="347" t="s">
        <v>71</v>
      </c>
      <c r="F28" s="303"/>
      <c r="G28" s="303"/>
      <c r="H28" s="347"/>
      <c r="I28" s="348"/>
      <c r="J28" s="631"/>
      <c r="K28" s="632"/>
      <c r="L28" s="632"/>
      <c r="M28" s="632"/>
      <c r="N28" s="632"/>
      <c r="O28" s="632"/>
      <c r="P28" s="632"/>
      <c r="Q28" s="632"/>
      <c r="R28" s="632"/>
      <c r="S28" s="632"/>
      <c r="T28" s="632"/>
      <c r="U28" s="632"/>
      <c r="V28" s="632"/>
      <c r="W28" s="632"/>
      <c r="X28" s="633"/>
    </row>
    <row r="29" spans="1:41" s="1" customFormat="1" x14ac:dyDescent="0.2">
      <c r="A29" s="636"/>
      <c r="B29" s="382"/>
      <c r="C29" s="175"/>
      <c r="D29" s="3"/>
      <c r="E29" s="332"/>
      <c r="F29" s="3"/>
      <c r="G29" s="3"/>
      <c r="H29" s="332"/>
      <c r="I29" s="339"/>
      <c r="J29" s="641"/>
      <c r="K29" s="629"/>
      <c r="L29" s="629"/>
      <c r="M29" s="629"/>
      <c r="N29" s="629"/>
      <c r="O29" s="629"/>
      <c r="P29" s="629"/>
      <c r="Q29" s="629"/>
      <c r="R29" s="629"/>
      <c r="S29" s="629"/>
      <c r="T29" s="629"/>
      <c r="U29" s="629"/>
      <c r="V29" s="629"/>
      <c r="W29" s="629"/>
      <c r="X29" s="630"/>
    </row>
    <row r="30" spans="1:41" s="345" customFormat="1" x14ac:dyDescent="0.2">
      <c r="A30" s="636"/>
      <c r="B30" s="383"/>
      <c r="C30" s="346"/>
      <c r="D30" s="303"/>
      <c r="E30" s="347"/>
      <c r="F30" s="303"/>
      <c r="G30" s="303"/>
      <c r="H30" s="347"/>
      <c r="I30" s="348"/>
      <c r="J30" s="631"/>
      <c r="K30" s="632"/>
      <c r="L30" s="632"/>
      <c r="M30" s="632"/>
      <c r="N30" s="632"/>
      <c r="O30" s="632"/>
      <c r="P30" s="632"/>
      <c r="Q30" s="632"/>
      <c r="R30" s="632"/>
      <c r="S30" s="632"/>
      <c r="T30" s="632"/>
      <c r="U30" s="632"/>
      <c r="V30" s="632"/>
      <c r="W30" s="632"/>
      <c r="X30" s="633"/>
    </row>
    <row r="31" spans="1:41" s="341" customFormat="1" x14ac:dyDescent="0.2">
      <c r="A31" s="637"/>
      <c r="B31" s="384"/>
      <c r="C31" s="360"/>
      <c r="D31" s="333"/>
      <c r="E31" s="334"/>
      <c r="F31" s="333"/>
      <c r="G31" s="333"/>
      <c r="H31" s="334"/>
      <c r="I31" s="361"/>
      <c r="J31" s="656"/>
      <c r="K31" s="657"/>
      <c r="L31" s="657"/>
      <c r="M31" s="657"/>
      <c r="N31" s="657"/>
      <c r="O31" s="657"/>
      <c r="P31" s="657"/>
      <c r="Q31" s="657"/>
      <c r="R31" s="657"/>
      <c r="S31" s="657"/>
      <c r="T31" s="657"/>
      <c r="U31" s="657"/>
      <c r="V31" s="657"/>
      <c r="W31" s="657"/>
      <c r="X31" s="658"/>
    </row>
    <row r="32" spans="1:41" s="345" customFormat="1" x14ac:dyDescent="0.2">
      <c r="A32" s="650" t="s">
        <v>83</v>
      </c>
      <c r="B32" s="397" t="s">
        <v>84</v>
      </c>
      <c r="C32" s="292">
        <v>1</v>
      </c>
      <c r="D32" s="162"/>
      <c r="E32" s="342" t="s">
        <v>65</v>
      </c>
      <c r="F32" s="163" t="s">
        <v>85</v>
      </c>
      <c r="G32" s="344"/>
      <c r="H32" s="342"/>
      <c r="I32" s="343"/>
      <c r="J32" s="653"/>
      <c r="K32" s="654"/>
      <c r="L32" s="654"/>
      <c r="M32" s="629" t="s">
        <v>86</v>
      </c>
      <c r="N32" s="629"/>
      <c r="O32" s="629"/>
      <c r="P32" s="654"/>
      <c r="Q32" s="654"/>
      <c r="R32" s="654"/>
      <c r="S32" s="654"/>
      <c r="T32" s="654"/>
      <c r="U32" s="654"/>
      <c r="V32" s="654"/>
      <c r="W32" s="654"/>
      <c r="X32" s="655"/>
    </row>
    <row r="33" spans="1:24" s="1" customFormat="1" x14ac:dyDescent="0.2">
      <c r="A33" s="651"/>
      <c r="B33" s="394" t="s">
        <v>87</v>
      </c>
      <c r="C33" s="304">
        <v>3</v>
      </c>
      <c r="D33" s="14"/>
      <c r="E33" s="332" t="s">
        <v>71</v>
      </c>
      <c r="F33" s="159" t="s">
        <v>88</v>
      </c>
      <c r="G33" s="3"/>
      <c r="H33" s="332"/>
      <c r="I33" s="339"/>
      <c r="J33" s="641"/>
      <c r="K33" s="629"/>
      <c r="L33" s="629"/>
      <c r="M33" s="629" t="s">
        <v>37</v>
      </c>
      <c r="N33" s="629"/>
      <c r="O33" s="629"/>
      <c r="P33" s="629"/>
      <c r="Q33" s="629"/>
      <c r="R33" s="629"/>
      <c r="S33" s="629" t="s">
        <v>89</v>
      </c>
      <c r="T33" s="629"/>
      <c r="U33" s="629"/>
      <c r="V33" s="629"/>
      <c r="W33" s="629"/>
      <c r="X33" s="630"/>
    </row>
    <row r="34" spans="1:24" s="345" customFormat="1" x14ac:dyDescent="0.2">
      <c r="A34" s="651"/>
      <c r="B34" s="395" t="s">
        <v>90</v>
      </c>
      <c r="C34" s="386">
        <v>4</v>
      </c>
      <c r="D34" s="199"/>
      <c r="E34" s="347" t="s">
        <v>71</v>
      </c>
      <c r="F34" s="303"/>
      <c r="G34" s="303"/>
      <c r="H34" s="347"/>
      <c r="I34" s="348"/>
      <c r="J34" s="631"/>
      <c r="K34" s="632"/>
      <c r="L34" s="632"/>
      <c r="M34" s="632" t="s">
        <v>91</v>
      </c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3"/>
    </row>
    <row r="35" spans="1:24" s="1" customFormat="1" x14ac:dyDescent="0.2">
      <c r="A35" s="651"/>
      <c r="B35" s="394" t="s">
        <v>92</v>
      </c>
      <c r="C35" s="387">
        <v>4</v>
      </c>
      <c r="D35" s="199"/>
      <c r="E35" s="332" t="s">
        <v>71</v>
      </c>
      <c r="F35" s="3"/>
      <c r="G35" s="3"/>
      <c r="H35" s="332"/>
      <c r="I35" s="339"/>
      <c r="J35" s="641"/>
      <c r="K35" s="629"/>
      <c r="L35" s="629"/>
      <c r="M35" s="629" t="s">
        <v>91</v>
      </c>
      <c r="N35" s="629"/>
      <c r="O35" s="629"/>
      <c r="P35" s="629"/>
      <c r="Q35" s="629"/>
      <c r="R35" s="629"/>
      <c r="S35" s="629"/>
      <c r="T35" s="629"/>
      <c r="U35" s="629"/>
      <c r="V35" s="629"/>
      <c r="W35" s="629"/>
      <c r="X35" s="630"/>
    </row>
    <row r="36" spans="1:24" s="345" customFormat="1" x14ac:dyDescent="0.2">
      <c r="A36" s="651"/>
      <c r="B36" s="395"/>
      <c r="C36" s="346"/>
      <c r="D36" s="303"/>
      <c r="E36" s="347"/>
      <c r="F36" s="303"/>
      <c r="G36" s="303"/>
      <c r="H36" s="347"/>
      <c r="I36" s="348"/>
      <c r="J36" s="631"/>
      <c r="K36" s="632"/>
      <c r="L36" s="632"/>
      <c r="M36" s="632"/>
      <c r="N36" s="632"/>
      <c r="O36" s="632"/>
      <c r="P36" s="632"/>
      <c r="Q36" s="632"/>
      <c r="R36" s="632"/>
      <c r="S36" s="632"/>
      <c r="T36" s="632"/>
      <c r="U36" s="632"/>
      <c r="V36" s="632"/>
      <c r="W36" s="632"/>
      <c r="X36" s="633"/>
    </row>
    <row r="37" spans="1:24" s="1" customFormat="1" x14ac:dyDescent="0.2">
      <c r="A37" s="651"/>
      <c r="B37" s="394"/>
      <c r="C37" s="175"/>
      <c r="D37" s="3"/>
      <c r="E37" s="332"/>
      <c r="F37" s="3"/>
      <c r="G37" s="3"/>
      <c r="H37" s="332"/>
      <c r="I37" s="339"/>
      <c r="J37" s="641"/>
      <c r="K37" s="629"/>
      <c r="L37" s="629"/>
      <c r="M37" s="629"/>
      <c r="N37" s="629"/>
      <c r="O37" s="629"/>
      <c r="P37" s="629"/>
      <c r="Q37" s="629"/>
      <c r="R37" s="629"/>
      <c r="S37" s="629"/>
      <c r="T37" s="629"/>
      <c r="U37" s="629"/>
      <c r="V37" s="629"/>
      <c r="W37" s="629"/>
      <c r="X37" s="630"/>
    </row>
    <row r="38" spans="1:24" s="345" customFormat="1" x14ac:dyDescent="0.2">
      <c r="A38" s="651"/>
      <c r="B38" s="395"/>
      <c r="C38" s="346"/>
      <c r="D38" s="303"/>
      <c r="E38" s="347"/>
      <c r="F38" s="303"/>
      <c r="G38" s="303"/>
      <c r="H38" s="347"/>
      <c r="I38" s="348"/>
      <c r="J38" s="631"/>
      <c r="K38" s="632"/>
      <c r="L38" s="632"/>
      <c r="M38" s="632"/>
      <c r="N38" s="632"/>
      <c r="O38" s="632"/>
      <c r="P38" s="632"/>
      <c r="Q38" s="632"/>
      <c r="R38" s="632"/>
      <c r="S38" s="632"/>
      <c r="T38" s="632"/>
      <c r="U38" s="632"/>
      <c r="V38" s="632"/>
      <c r="W38" s="632"/>
      <c r="X38" s="633"/>
    </row>
    <row r="39" spans="1:24" s="1" customFormat="1" x14ac:dyDescent="0.2">
      <c r="A39" s="651"/>
      <c r="B39" s="394"/>
      <c r="C39" s="175"/>
      <c r="D39" s="3"/>
      <c r="E39" s="332"/>
      <c r="F39" s="3"/>
      <c r="G39" s="3"/>
      <c r="H39" s="332"/>
      <c r="I39" s="339"/>
      <c r="J39" s="641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30"/>
    </row>
    <row r="40" spans="1:24" s="345" customFormat="1" x14ac:dyDescent="0.2">
      <c r="A40" s="651"/>
      <c r="B40" s="395"/>
      <c r="C40" s="346"/>
      <c r="D40" s="303"/>
      <c r="E40" s="347"/>
      <c r="F40" s="303"/>
      <c r="G40" s="303"/>
      <c r="H40" s="347"/>
      <c r="I40" s="348"/>
      <c r="J40" s="631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3"/>
    </row>
    <row r="41" spans="1:24" s="362" customFormat="1" x14ac:dyDescent="0.2">
      <c r="A41" s="652"/>
      <c r="B41" s="396"/>
      <c r="C41" s="360"/>
      <c r="D41" s="333"/>
      <c r="E41" s="334"/>
      <c r="F41" s="333"/>
      <c r="G41" s="333"/>
      <c r="H41" s="334"/>
      <c r="I41" s="361"/>
      <c r="J41" s="656"/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7"/>
      <c r="V41" s="657"/>
      <c r="W41" s="657"/>
      <c r="X41" s="658"/>
    </row>
    <row r="42" spans="1:24" s="345" customFormat="1" x14ac:dyDescent="0.2">
      <c r="A42" s="635" t="s">
        <v>93</v>
      </c>
      <c r="B42" s="397" t="s">
        <v>94</v>
      </c>
      <c r="C42" s="350">
        <v>1</v>
      </c>
      <c r="D42" s="14"/>
      <c r="E42" s="342" t="s">
        <v>65</v>
      </c>
      <c r="F42" s="344" t="s">
        <v>72</v>
      </c>
      <c r="G42" s="344"/>
      <c r="H42" s="342"/>
      <c r="I42" s="343"/>
      <c r="J42" s="653"/>
      <c r="K42" s="654"/>
      <c r="L42" s="654"/>
      <c r="M42" s="654" t="s">
        <v>34</v>
      </c>
      <c r="N42" s="654"/>
      <c r="O42" s="654"/>
      <c r="P42" s="654"/>
      <c r="Q42" s="654"/>
      <c r="R42" s="654"/>
      <c r="S42" s="654"/>
      <c r="T42" s="654"/>
      <c r="U42" s="654"/>
      <c r="V42" s="654" t="s">
        <v>95</v>
      </c>
      <c r="W42" s="654"/>
      <c r="X42" s="655"/>
    </row>
    <row r="43" spans="1:24" s="1" customFormat="1" x14ac:dyDescent="0.2">
      <c r="A43" s="636"/>
      <c r="B43" s="394" t="s">
        <v>96</v>
      </c>
      <c r="C43" s="175"/>
      <c r="D43" s="14"/>
      <c r="E43" s="332" t="s">
        <v>65</v>
      </c>
      <c r="F43" s="3"/>
      <c r="G43" s="3"/>
      <c r="H43" s="332"/>
      <c r="I43" s="339"/>
      <c r="J43" s="641"/>
      <c r="K43" s="629"/>
      <c r="L43" s="629"/>
      <c r="M43" s="629"/>
      <c r="N43" s="629"/>
      <c r="O43" s="629"/>
      <c r="P43" s="629"/>
      <c r="Q43" s="629"/>
      <c r="R43" s="629"/>
      <c r="S43" s="629"/>
      <c r="T43" s="629"/>
      <c r="U43" s="629"/>
      <c r="V43" s="629"/>
      <c r="W43" s="629"/>
      <c r="X43" s="630"/>
    </row>
    <row r="44" spans="1:24" s="345" customFormat="1" x14ac:dyDescent="0.2">
      <c r="A44" s="636"/>
      <c r="B44" s="395" t="s">
        <v>97</v>
      </c>
      <c r="C44" s="346">
        <v>1</v>
      </c>
      <c r="D44" s="14"/>
      <c r="E44" s="347" t="s">
        <v>71</v>
      </c>
      <c r="F44" s="303"/>
      <c r="G44" s="303"/>
      <c r="H44" s="347"/>
      <c r="I44" s="348"/>
      <c r="J44" s="631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3"/>
    </row>
    <row r="45" spans="1:24" s="1" customFormat="1" x14ac:dyDescent="0.2">
      <c r="A45" s="636"/>
      <c r="B45" s="394" t="s">
        <v>98</v>
      </c>
      <c r="C45" s="175">
        <v>3</v>
      </c>
      <c r="D45" s="14"/>
      <c r="E45" s="332" t="s">
        <v>71</v>
      </c>
      <c r="F45" s="3"/>
      <c r="G45" s="3"/>
      <c r="H45" s="332"/>
      <c r="I45" s="339"/>
      <c r="J45" s="641"/>
      <c r="K45" s="629"/>
      <c r="L45" s="629"/>
      <c r="M45" s="629"/>
      <c r="N45" s="629"/>
      <c r="O45" s="629"/>
      <c r="P45" s="629"/>
      <c r="Q45" s="629"/>
      <c r="R45" s="629"/>
      <c r="S45" s="629"/>
      <c r="T45" s="629"/>
      <c r="U45" s="629"/>
      <c r="V45" s="629"/>
      <c r="W45" s="629"/>
      <c r="X45" s="630"/>
    </row>
    <row r="46" spans="1:24" s="345" customFormat="1" x14ac:dyDescent="0.2">
      <c r="A46" s="636"/>
      <c r="B46" s="395" t="s">
        <v>99</v>
      </c>
      <c r="C46" s="346">
        <v>1</v>
      </c>
      <c r="D46" s="165"/>
      <c r="E46" s="347" t="s">
        <v>71</v>
      </c>
      <c r="F46" s="303"/>
      <c r="G46" s="303"/>
      <c r="H46" s="347"/>
      <c r="I46" s="348"/>
      <c r="J46" s="631"/>
      <c r="K46" s="632"/>
      <c r="L46" s="632"/>
      <c r="M46" s="632"/>
      <c r="N46" s="632"/>
      <c r="O46" s="632"/>
      <c r="P46" s="632"/>
      <c r="Q46" s="632"/>
      <c r="R46" s="632"/>
      <c r="S46" s="632"/>
      <c r="T46" s="632"/>
      <c r="U46" s="632"/>
      <c r="V46" s="632"/>
      <c r="W46" s="632"/>
      <c r="X46" s="633"/>
    </row>
    <row r="47" spans="1:24" s="1" customFormat="1" x14ac:dyDescent="0.2">
      <c r="A47" s="636"/>
      <c r="B47" s="394" t="s">
        <v>100</v>
      </c>
      <c r="C47" s="175">
        <v>4</v>
      </c>
      <c r="D47" s="14"/>
      <c r="E47" s="332" t="s">
        <v>71</v>
      </c>
      <c r="F47" s="3"/>
      <c r="G47" s="3"/>
      <c r="H47" s="332"/>
      <c r="I47" s="339"/>
      <c r="J47" s="641"/>
      <c r="K47" s="629"/>
      <c r="L47" s="629"/>
      <c r="M47" s="629"/>
      <c r="N47" s="629"/>
      <c r="O47" s="629"/>
      <c r="P47" s="629"/>
      <c r="Q47" s="629"/>
      <c r="R47" s="629"/>
      <c r="S47" s="629"/>
      <c r="T47" s="629"/>
      <c r="U47" s="629"/>
      <c r="V47" s="629"/>
      <c r="W47" s="629"/>
      <c r="X47" s="630"/>
    </row>
    <row r="48" spans="1:24" s="345" customFormat="1" x14ac:dyDescent="0.2">
      <c r="A48" s="636"/>
      <c r="B48" s="395" t="s">
        <v>101</v>
      </c>
      <c r="C48" s="346">
        <v>6</v>
      </c>
      <c r="D48" s="158"/>
      <c r="E48" s="347" t="s">
        <v>71</v>
      </c>
      <c r="F48" s="303"/>
      <c r="G48" s="303"/>
      <c r="H48" s="347"/>
      <c r="I48" s="348"/>
      <c r="J48" s="631"/>
      <c r="K48" s="632"/>
      <c r="L48" s="632"/>
      <c r="M48" s="632" t="s">
        <v>314</v>
      </c>
      <c r="N48" s="632"/>
      <c r="O48" s="632"/>
      <c r="P48" s="632" t="s">
        <v>67</v>
      </c>
      <c r="Q48" s="632"/>
      <c r="R48" s="632"/>
      <c r="S48" s="632"/>
      <c r="T48" s="632"/>
      <c r="U48" s="632"/>
      <c r="V48" s="632"/>
      <c r="W48" s="632"/>
      <c r="X48" s="633"/>
    </row>
    <row r="49" spans="1:24" s="1" customFormat="1" x14ac:dyDescent="0.2">
      <c r="A49" s="636"/>
      <c r="B49" s="394" t="s">
        <v>102</v>
      </c>
      <c r="C49" s="175">
        <v>2</v>
      </c>
      <c r="D49" s="167"/>
      <c r="E49" s="332" t="s">
        <v>71</v>
      </c>
      <c r="F49" s="3"/>
      <c r="G49" s="3"/>
      <c r="H49" s="332"/>
      <c r="I49" s="339"/>
      <c r="J49" s="641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30"/>
    </row>
    <row r="50" spans="1:24" s="345" customFormat="1" x14ac:dyDescent="0.2">
      <c r="A50" s="636"/>
      <c r="B50" s="395"/>
      <c r="C50" s="346"/>
      <c r="D50" s="303"/>
      <c r="E50" s="347"/>
      <c r="F50" s="303"/>
      <c r="G50" s="303"/>
      <c r="H50" s="347"/>
      <c r="I50" s="348"/>
      <c r="J50" s="631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3"/>
    </row>
    <row r="51" spans="1:24" s="362" customFormat="1" x14ac:dyDescent="0.2">
      <c r="A51" s="637"/>
      <c r="B51" s="396"/>
      <c r="C51" s="360"/>
      <c r="D51" s="333"/>
      <c r="E51" s="334"/>
      <c r="F51" s="333"/>
      <c r="G51" s="333"/>
      <c r="H51" s="334"/>
      <c r="I51" s="361"/>
      <c r="J51" s="656"/>
      <c r="K51" s="657"/>
      <c r="L51" s="657"/>
      <c r="M51" s="657"/>
      <c r="N51" s="657"/>
      <c r="O51" s="657"/>
      <c r="P51" s="657"/>
      <c r="Q51" s="657"/>
      <c r="R51" s="657"/>
      <c r="S51" s="657"/>
      <c r="T51" s="657"/>
      <c r="U51" s="657"/>
      <c r="V51" s="657"/>
      <c r="W51" s="657"/>
      <c r="X51" s="658"/>
    </row>
    <row r="52" spans="1:24" s="345" customFormat="1" x14ac:dyDescent="0.2">
      <c r="A52" s="659" t="s">
        <v>277</v>
      </c>
      <c r="B52" s="397" t="s">
        <v>104</v>
      </c>
      <c r="C52" s="350">
        <v>6</v>
      </c>
      <c r="D52" s="14"/>
      <c r="E52" s="342" t="s">
        <v>65</v>
      </c>
      <c r="F52" s="12" t="s">
        <v>105</v>
      </c>
      <c r="G52" s="344"/>
      <c r="H52" s="342"/>
      <c r="I52" s="343"/>
      <c r="J52" s="653"/>
      <c r="K52" s="654"/>
      <c r="L52" s="654"/>
      <c r="M52" s="654" t="s">
        <v>40</v>
      </c>
      <c r="N52" s="654"/>
      <c r="O52" s="654"/>
      <c r="P52" s="654"/>
      <c r="Q52" s="654"/>
      <c r="R52" s="654"/>
      <c r="S52" s="654"/>
      <c r="T52" s="654"/>
      <c r="U52" s="654"/>
      <c r="V52" s="654"/>
      <c r="W52" s="654"/>
      <c r="X52" s="655"/>
    </row>
    <row r="53" spans="1:24" s="1" customFormat="1" x14ac:dyDescent="0.2">
      <c r="A53" s="651"/>
      <c r="B53" s="394" t="s">
        <v>106</v>
      </c>
      <c r="C53" s="175">
        <v>1</v>
      </c>
      <c r="D53" s="40"/>
      <c r="E53" s="332" t="s">
        <v>71</v>
      </c>
      <c r="F53" s="61" t="s">
        <v>107</v>
      </c>
      <c r="G53" s="3"/>
      <c r="H53" s="332"/>
      <c r="I53" s="339"/>
      <c r="J53" s="641"/>
      <c r="K53" s="629"/>
      <c r="L53" s="629"/>
      <c r="M53" s="629" t="s">
        <v>315</v>
      </c>
      <c r="N53" s="629"/>
      <c r="O53" s="629"/>
      <c r="P53" s="629" t="s">
        <v>67</v>
      </c>
      <c r="Q53" s="629"/>
      <c r="R53" s="629"/>
      <c r="S53" s="629"/>
      <c r="T53" s="629"/>
      <c r="U53" s="629"/>
      <c r="V53" s="629" t="s">
        <v>108</v>
      </c>
      <c r="W53" s="629"/>
      <c r="X53" s="630"/>
    </row>
    <row r="54" spans="1:24" s="345" customFormat="1" x14ac:dyDescent="0.2">
      <c r="A54" s="651"/>
      <c r="B54" s="395" t="s">
        <v>109</v>
      </c>
      <c r="C54" s="346">
        <v>2</v>
      </c>
      <c r="D54" s="176"/>
      <c r="E54" s="347" t="s">
        <v>71</v>
      </c>
      <c r="F54" s="197" t="s">
        <v>76</v>
      </c>
      <c r="G54" s="303"/>
      <c r="H54" s="347"/>
      <c r="I54" s="348"/>
      <c r="J54" s="631"/>
      <c r="K54" s="632"/>
      <c r="L54" s="632"/>
      <c r="M54" s="632" t="s">
        <v>110</v>
      </c>
      <c r="N54" s="632"/>
      <c r="O54" s="632"/>
      <c r="P54" s="632"/>
      <c r="Q54" s="632"/>
      <c r="R54" s="632"/>
      <c r="S54" s="632"/>
      <c r="T54" s="632"/>
      <c r="U54" s="632"/>
      <c r="V54" s="632"/>
      <c r="W54" s="632"/>
      <c r="X54" s="633"/>
    </row>
    <row r="55" spans="1:24" s="1" customFormat="1" x14ac:dyDescent="0.2">
      <c r="A55" s="651"/>
      <c r="B55" s="394" t="s">
        <v>111</v>
      </c>
      <c r="C55" s="175">
        <v>3</v>
      </c>
      <c r="D55" s="14"/>
      <c r="E55" s="332" t="s">
        <v>71</v>
      </c>
      <c r="F55" s="3"/>
      <c r="G55" s="3"/>
      <c r="H55" s="332"/>
      <c r="I55" s="339"/>
      <c r="J55" s="641"/>
      <c r="K55" s="629"/>
      <c r="L55" s="629"/>
      <c r="M55" s="629" t="s">
        <v>32</v>
      </c>
      <c r="N55" s="629"/>
      <c r="O55" s="629"/>
      <c r="P55" s="629"/>
      <c r="Q55" s="629"/>
      <c r="R55" s="629"/>
      <c r="S55" s="629"/>
      <c r="T55" s="629"/>
      <c r="U55" s="629"/>
      <c r="V55" s="629"/>
      <c r="W55" s="629"/>
      <c r="X55" s="630"/>
    </row>
    <row r="56" spans="1:24" s="345" customFormat="1" x14ac:dyDescent="0.2">
      <c r="A56" s="651"/>
      <c r="B56" s="395"/>
      <c r="C56" s="346"/>
      <c r="D56" s="303"/>
      <c r="E56" s="347"/>
      <c r="F56" s="303"/>
      <c r="G56" s="303"/>
      <c r="H56" s="347"/>
      <c r="I56" s="348"/>
      <c r="J56" s="631"/>
      <c r="K56" s="632"/>
      <c r="L56" s="632"/>
      <c r="M56" s="632"/>
      <c r="N56" s="632"/>
      <c r="O56" s="632"/>
      <c r="P56" s="632"/>
      <c r="Q56" s="632"/>
      <c r="R56" s="632"/>
      <c r="S56" s="632"/>
      <c r="T56" s="632"/>
      <c r="U56" s="632"/>
      <c r="V56" s="632"/>
      <c r="W56" s="632"/>
      <c r="X56" s="633"/>
    </row>
    <row r="57" spans="1:24" s="1" customFormat="1" x14ac:dyDescent="0.2">
      <c r="A57" s="651"/>
      <c r="B57" s="394"/>
      <c r="C57" s="175"/>
      <c r="D57" s="3"/>
      <c r="E57" s="332"/>
      <c r="F57" s="3"/>
      <c r="G57" s="3"/>
      <c r="H57" s="332"/>
      <c r="I57" s="339"/>
      <c r="J57" s="641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30"/>
    </row>
    <row r="58" spans="1:24" s="345" customFormat="1" x14ac:dyDescent="0.2">
      <c r="A58" s="651"/>
      <c r="B58" s="395"/>
      <c r="C58" s="346"/>
      <c r="D58" s="303"/>
      <c r="E58" s="347"/>
      <c r="F58" s="303"/>
      <c r="G58" s="303"/>
      <c r="H58" s="347"/>
      <c r="I58" s="348"/>
      <c r="J58" s="631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3"/>
    </row>
    <row r="59" spans="1:24" s="1" customFormat="1" x14ac:dyDescent="0.2">
      <c r="A59" s="651"/>
      <c r="B59" s="394"/>
      <c r="C59" s="175"/>
      <c r="D59" s="3"/>
      <c r="E59" s="332"/>
      <c r="F59" s="3"/>
      <c r="G59" s="3"/>
      <c r="H59" s="332"/>
      <c r="I59" s="339"/>
      <c r="J59" s="641"/>
      <c r="K59" s="629"/>
      <c r="L59" s="629"/>
      <c r="M59" s="629"/>
      <c r="N59" s="629"/>
      <c r="O59" s="629"/>
      <c r="P59" s="629"/>
      <c r="Q59" s="629"/>
      <c r="R59" s="629"/>
      <c r="S59" s="629"/>
      <c r="T59" s="629"/>
      <c r="U59" s="629"/>
      <c r="V59" s="629"/>
      <c r="W59" s="629"/>
      <c r="X59" s="630"/>
    </row>
    <row r="60" spans="1:24" s="345" customFormat="1" x14ac:dyDescent="0.2">
      <c r="A60" s="651"/>
      <c r="B60" s="395"/>
      <c r="C60" s="346"/>
      <c r="D60" s="303"/>
      <c r="E60" s="347"/>
      <c r="F60" s="303"/>
      <c r="G60" s="303"/>
      <c r="H60" s="347"/>
      <c r="I60" s="348"/>
      <c r="J60" s="631"/>
      <c r="K60" s="632"/>
      <c r="L60" s="632"/>
      <c r="M60" s="632"/>
      <c r="N60" s="632"/>
      <c r="O60" s="632"/>
      <c r="P60" s="632"/>
      <c r="Q60" s="632"/>
      <c r="R60" s="632"/>
      <c r="S60" s="632"/>
      <c r="T60" s="632"/>
      <c r="U60" s="632"/>
      <c r="V60" s="632"/>
      <c r="W60" s="632"/>
      <c r="X60" s="633"/>
    </row>
    <row r="61" spans="1:24" s="362" customFormat="1" x14ac:dyDescent="0.2">
      <c r="A61" s="652"/>
      <c r="B61" s="396"/>
      <c r="C61" s="360"/>
      <c r="D61" s="333"/>
      <c r="E61" s="334"/>
      <c r="F61" s="333"/>
      <c r="G61" s="333"/>
      <c r="H61" s="334"/>
      <c r="I61" s="361"/>
      <c r="J61" s="656"/>
      <c r="K61" s="657"/>
      <c r="L61" s="657"/>
      <c r="M61" s="657"/>
      <c r="N61" s="657"/>
      <c r="O61" s="657"/>
      <c r="P61" s="657"/>
      <c r="Q61" s="657"/>
      <c r="R61" s="657"/>
      <c r="S61" s="657"/>
      <c r="T61" s="657"/>
      <c r="U61" s="657"/>
      <c r="V61" s="657"/>
      <c r="W61" s="657"/>
      <c r="X61" s="658"/>
    </row>
    <row r="62" spans="1:24" s="1" customFormat="1" x14ac:dyDescent="0.2">
      <c r="A62" s="664" t="s">
        <v>112</v>
      </c>
      <c r="B62" s="390" t="s">
        <v>113</v>
      </c>
      <c r="C62" s="299">
        <v>4</v>
      </c>
      <c r="D62" s="392"/>
      <c r="E62" s="331" t="s">
        <v>71</v>
      </c>
      <c r="F62" s="20"/>
      <c r="G62" s="20" t="s">
        <v>50</v>
      </c>
      <c r="H62" s="331"/>
      <c r="I62" s="20"/>
      <c r="J62" s="667"/>
      <c r="K62" s="668"/>
      <c r="L62" s="669"/>
      <c r="M62" s="667" t="s">
        <v>114</v>
      </c>
      <c r="N62" s="668"/>
      <c r="O62" s="669"/>
      <c r="P62" s="667"/>
      <c r="Q62" s="668"/>
      <c r="R62" s="669"/>
      <c r="S62" s="667" t="s">
        <v>115</v>
      </c>
      <c r="T62" s="668"/>
      <c r="U62" s="669"/>
      <c r="V62" s="667" t="s">
        <v>116</v>
      </c>
      <c r="W62" s="668"/>
      <c r="X62" s="670"/>
    </row>
    <row r="63" spans="1:24" s="1" customFormat="1" x14ac:dyDescent="0.2">
      <c r="A63" s="665"/>
      <c r="B63" s="394"/>
      <c r="C63" s="175"/>
      <c r="D63" s="3"/>
      <c r="E63" s="332"/>
      <c r="F63" s="3"/>
      <c r="G63" s="3"/>
      <c r="H63" s="332"/>
      <c r="I63" s="3"/>
      <c r="J63" s="660"/>
      <c r="K63" s="661"/>
      <c r="L63" s="663"/>
      <c r="M63" s="660"/>
      <c r="N63" s="661"/>
      <c r="O63" s="663"/>
      <c r="P63" s="660"/>
      <c r="Q63" s="661"/>
      <c r="R63" s="663"/>
      <c r="S63" s="660"/>
      <c r="T63" s="661"/>
      <c r="U63" s="663"/>
      <c r="V63" s="660"/>
      <c r="W63" s="661"/>
      <c r="X63" s="662"/>
    </row>
    <row r="64" spans="1:24" s="1" customFormat="1" x14ac:dyDescent="0.2">
      <c r="A64" s="665"/>
      <c r="B64" s="394"/>
      <c r="C64" s="175"/>
      <c r="D64" s="3"/>
      <c r="E64" s="332"/>
      <c r="F64" s="3"/>
      <c r="G64" s="3"/>
      <c r="H64" s="332"/>
      <c r="I64" s="3"/>
      <c r="J64" s="660"/>
      <c r="K64" s="661"/>
      <c r="L64" s="663"/>
      <c r="M64" s="660"/>
      <c r="N64" s="661"/>
      <c r="O64" s="663"/>
      <c r="P64" s="660"/>
      <c r="Q64" s="661"/>
      <c r="R64" s="663"/>
      <c r="S64" s="660"/>
      <c r="T64" s="661"/>
      <c r="U64" s="663"/>
      <c r="V64" s="660"/>
      <c r="W64" s="661"/>
      <c r="X64" s="662"/>
    </row>
    <row r="65" spans="1:24" s="1" customFormat="1" x14ac:dyDescent="0.2">
      <c r="A65" s="665"/>
      <c r="B65" s="394"/>
      <c r="C65" s="175"/>
      <c r="D65" s="3"/>
      <c r="E65" s="332"/>
      <c r="F65" s="3"/>
      <c r="G65" s="3"/>
      <c r="H65" s="332"/>
      <c r="I65" s="3"/>
      <c r="J65" s="660"/>
      <c r="K65" s="661"/>
      <c r="L65" s="663"/>
      <c r="M65" s="660"/>
      <c r="N65" s="661"/>
      <c r="O65" s="663"/>
      <c r="P65" s="660"/>
      <c r="Q65" s="661"/>
      <c r="R65" s="663"/>
      <c r="S65" s="660"/>
      <c r="T65" s="661"/>
      <c r="U65" s="663"/>
      <c r="V65" s="660"/>
      <c r="W65" s="661"/>
      <c r="X65" s="662"/>
    </row>
    <row r="66" spans="1:24" s="1" customFormat="1" x14ac:dyDescent="0.2">
      <c r="A66" s="665"/>
      <c r="B66" s="394"/>
      <c r="C66" s="175"/>
      <c r="D66" s="3"/>
      <c r="E66" s="332"/>
      <c r="F66" s="3"/>
      <c r="G66" s="3"/>
      <c r="H66" s="332"/>
      <c r="I66" s="3"/>
      <c r="J66" s="660"/>
      <c r="K66" s="661"/>
      <c r="L66" s="663"/>
      <c r="M66" s="660"/>
      <c r="N66" s="661"/>
      <c r="O66" s="663"/>
      <c r="P66" s="660"/>
      <c r="Q66" s="661"/>
      <c r="R66" s="663"/>
      <c r="S66" s="660"/>
      <c r="T66" s="661"/>
      <c r="U66" s="663"/>
      <c r="V66" s="660"/>
      <c r="W66" s="661"/>
      <c r="X66" s="662"/>
    </row>
    <row r="67" spans="1:24" s="1" customFormat="1" x14ac:dyDescent="0.2">
      <c r="A67" s="665"/>
      <c r="B67" s="394"/>
      <c r="C67" s="175"/>
      <c r="D67" s="3"/>
      <c r="E67" s="332"/>
      <c r="F67" s="3"/>
      <c r="G67" s="3"/>
      <c r="H67" s="332"/>
      <c r="I67" s="3"/>
      <c r="J67" s="660"/>
      <c r="K67" s="661"/>
      <c r="L67" s="663"/>
      <c r="M67" s="660"/>
      <c r="N67" s="661"/>
      <c r="O67" s="663"/>
      <c r="P67" s="660"/>
      <c r="Q67" s="661"/>
      <c r="R67" s="663"/>
      <c r="S67" s="660"/>
      <c r="T67" s="661"/>
      <c r="U67" s="663"/>
      <c r="V67" s="660"/>
      <c r="W67" s="661"/>
      <c r="X67" s="662"/>
    </row>
    <row r="68" spans="1:24" s="1" customFormat="1" x14ac:dyDescent="0.2">
      <c r="A68" s="665"/>
      <c r="B68" s="394"/>
      <c r="C68" s="175"/>
      <c r="D68" s="3"/>
      <c r="E68" s="332"/>
      <c r="F68" s="3"/>
      <c r="G68" s="3"/>
      <c r="H68" s="332"/>
      <c r="I68" s="3"/>
      <c r="J68" s="660"/>
      <c r="K68" s="661"/>
      <c r="L68" s="663"/>
      <c r="M68" s="660"/>
      <c r="N68" s="661"/>
      <c r="O68" s="663"/>
      <c r="P68" s="660"/>
      <c r="Q68" s="661"/>
      <c r="R68" s="663"/>
      <c r="S68" s="660"/>
      <c r="T68" s="661"/>
      <c r="U68" s="663"/>
      <c r="V68" s="660"/>
      <c r="W68" s="661"/>
      <c r="X68" s="662"/>
    </row>
    <row r="69" spans="1:24" s="1" customFormat="1" x14ac:dyDescent="0.2">
      <c r="A69" s="665"/>
      <c r="B69" s="394"/>
      <c r="C69" s="175"/>
      <c r="D69" s="3"/>
      <c r="E69" s="332"/>
      <c r="F69" s="3"/>
      <c r="G69" s="3"/>
      <c r="H69" s="332"/>
      <c r="I69" s="3"/>
      <c r="J69" s="660"/>
      <c r="K69" s="661"/>
      <c r="L69" s="663"/>
      <c r="M69" s="660"/>
      <c r="N69" s="661"/>
      <c r="O69" s="663"/>
      <c r="P69" s="660"/>
      <c r="Q69" s="661"/>
      <c r="R69" s="663"/>
      <c r="S69" s="660"/>
      <c r="T69" s="661"/>
      <c r="U69" s="663"/>
      <c r="V69" s="660"/>
      <c r="W69" s="661"/>
      <c r="X69" s="662"/>
    </row>
    <row r="70" spans="1:24" s="1" customFormat="1" x14ac:dyDescent="0.2">
      <c r="A70" s="665"/>
      <c r="B70" s="394"/>
      <c r="C70" s="175"/>
      <c r="D70" s="3"/>
      <c r="E70" s="332"/>
      <c r="F70" s="3"/>
      <c r="G70" s="3"/>
      <c r="H70" s="332"/>
      <c r="I70" s="3"/>
      <c r="J70" s="660"/>
      <c r="K70" s="661"/>
      <c r="L70" s="663"/>
      <c r="M70" s="660"/>
      <c r="N70" s="661"/>
      <c r="O70" s="663"/>
      <c r="P70" s="660"/>
      <c r="Q70" s="661"/>
      <c r="R70" s="663"/>
      <c r="S70" s="660"/>
      <c r="T70" s="661"/>
      <c r="U70" s="663"/>
      <c r="V70" s="660"/>
      <c r="W70" s="661"/>
      <c r="X70" s="662"/>
    </row>
    <row r="71" spans="1:24" s="1" customFormat="1" x14ac:dyDescent="0.2">
      <c r="A71" s="665"/>
      <c r="B71" s="394"/>
      <c r="C71" s="175"/>
      <c r="D71" s="3"/>
      <c r="E71" s="332"/>
      <c r="F71" s="3"/>
      <c r="G71" s="3"/>
      <c r="H71" s="332"/>
      <c r="I71" s="3"/>
      <c r="J71" s="660"/>
      <c r="K71" s="661"/>
      <c r="L71" s="663"/>
      <c r="M71" s="660"/>
      <c r="N71" s="661"/>
      <c r="O71" s="663"/>
      <c r="P71" s="660"/>
      <c r="Q71" s="661"/>
      <c r="R71" s="663"/>
      <c r="S71" s="660"/>
      <c r="T71" s="661"/>
      <c r="U71" s="663"/>
      <c r="V71" s="660"/>
      <c r="W71" s="661"/>
      <c r="X71" s="662"/>
    </row>
    <row r="72" spans="1:24" s="306" customFormat="1" x14ac:dyDescent="0.2">
      <c r="A72" s="666"/>
      <c r="B72" s="391"/>
      <c r="C72" s="293"/>
      <c r="D72" s="5"/>
      <c r="E72" s="340"/>
      <c r="F72" s="5"/>
      <c r="G72" s="5"/>
      <c r="H72" s="340"/>
      <c r="I72" s="5"/>
      <c r="J72" s="671"/>
      <c r="K72" s="672"/>
      <c r="L72" s="673"/>
      <c r="M72" s="671"/>
      <c r="N72" s="672"/>
      <c r="O72" s="673"/>
      <c r="P72" s="671"/>
      <c r="Q72" s="672"/>
      <c r="R72" s="673"/>
      <c r="S72" s="671"/>
      <c r="T72" s="672"/>
      <c r="U72" s="673"/>
      <c r="V72" s="671"/>
      <c r="W72" s="672"/>
      <c r="X72" s="674"/>
    </row>
    <row r="73" spans="1:24" s="345" customFormat="1" ht="15" customHeight="1" x14ac:dyDescent="0.2">
      <c r="A73" s="676" t="s">
        <v>117</v>
      </c>
      <c r="B73" s="397" t="s">
        <v>118</v>
      </c>
      <c r="C73" s="350"/>
      <c r="D73" s="216"/>
      <c r="E73" s="354" t="s">
        <v>65</v>
      </c>
      <c r="F73" s="344"/>
      <c r="G73" s="344"/>
      <c r="H73" s="342"/>
      <c r="I73" s="343"/>
      <c r="J73" s="653"/>
      <c r="K73" s="654"/>
      <c r="L73" s="654"/>
      <c r="M73" s="654"/>
      <c r="N73" s="654"/>
      <c r="O73" s="654"/>
      <c r="P73" s="654"/>
      <c r="Q73" s="654"/>
      <c r="R73" s="654"/>
      <c r="S73" s="654"/>
      <c r="T73" s="654"/>
      <c r="U73" s="654"/>
      <c r="V73" s="654"/>
      <c r="W73" s="654"/>
      <c r="X73" s="655"/>
    </row>
    <row r="74" spans="1:24" s="1" customFormat="1" x14ac:dyDescent="0.2">
      <c r="A74" s="677"/>
      <c r="B74" s="394" t="s">
        <v>119</v>
      </c>
      <c r="C74" s="175">
        <v>1</v>
      </c>
      <c r="D74" s="215"/>
      <c r="E74" s="73" t="s">
        <v>65</v>
      </c>
      <c r="F74" s="3"/>
      <c r="G74" s="3"/>
      <c r="H74" s="332"/>
      <c r="I74" s="339"/>
      <c r="J74" s="641"/>
      <c r="K74" s="629"/>
      <c r="L74" s="629"/>
      <c r="M74" s="629"/>
      <c r="N74" s="629"/>
      <c r="O74" s="629"/>
      <c r="P74" s="629"/>
      <c r="Q74" s="629"/>
      <c r="R74" s="629"/>
      <c r="S74" s="629"/>
      <c r="T74" s="629"/>
      <c r="U74" s="629"/>
      <c r="V74" s="629"/>
      <c r="W74" s="629"/>
      <c r="X74" s="630"/>
    </row>
    <row r="75" spans="1:24" s="345" customFormat="1" x14ac:dyDescent="0.2">
      <c r="A75" s="677"/>
      <c r="B75" s="395" t="s">
        <v>120</v>
      </c>
      <c r="C75" s="346">
        <v>3</v>
      </c>
      <c r="D75" s="14"/>
      <c r="E75" s="355" t="s">
        <v>65</v>
      </c>
      <c r="F75" s="303"/>
      <c r="G75" s="303"/>
      <c r="H75" s="347"/>
      <c r="I75" s="348"/>
      <c r="J75" s="631"/>
      <c r="K75" s="632"/>
      <c r="L75" s="632"/>
      <c r="M75" s="632"/>
      <c r="N75" s="632"/>
      <c r="O75" s="632"/>
      <c r="P75" s="632"/>
      <c r="Q75" s="632"/>
      <c r="R75" s="632"/>
      <c r="S75" s="632"/>
      <c r="T75" s="632"/>
      <c r="U75" s="632"/>
      <c r="V75" s="632"/>
      <c r="W75" s="632"/>
      <c r="X75" s="633"/>
    </row>
    <row r="76" spans="1:24" s="1" customFormat="1" x14ac:dyDescent="0.2">
      <c r="A76" s="677"/>
      <c r="B76" s="394" t="s">
        <v>121</v>
      </c>
      <c r="C76" s="175">
        <v>1</v>
      </c>
      <c r="D76" s="215"/>
      <c r="E76" s="73" t="s">
        <v>65</v>
      </c>
      <c r="F76" s="3" t="s">
        <v>122</v>
      </c>
      <c r="G76" s="3"/>
      <c r="H76" s="332"/>
      <c r="I76" s="339"/>
      <c r="J76" s="641"/>
      <c r="K76" s="629"/>
      <c r="L76" s="629"/>
      <c r="M76" s="629" t="s">
        <v>314</v>
      </c>
      <c r="N76" s="629"/>
      <c r="O76" s="629"/>
      <c r="P76" s="629" t="s">
        <v>67</v>
      </c>
      <c r="Q76" s="629"/>
      <c r="R76" s="629"/>
      <c r="S76" s="629"/>
      <c r="T76" s="629"/>
      <c r="U76" s="629"/>
      <c r="V76" s="629"/>
      <c r="W76" s="629"/>
      <c r="X76" s="630"/>
    </row>
    <row r="77" spans="1:24" s="345" customFormat="1" x14ac:dyDescent="0.2">
      <c r="A77" s="677"/>
      <c r="B77" s="395" t="s">
        <v>123</v>
      </c>
      <c r="C77" s="346">
        <v>5</v>
      </c>
      <c r="D77" s="215"/>
      <c r="E77" s="355" t="s">
        <v>71</v>
      </c>
      <c r="F77" s="303"/>
      <c r="G77" s="303"/>
      <c r="H77" s="347"/>
      <c r="I77" s="348"/>
      <c r="J77" s="631"/>
      <c r="K77" s="632"/>
      <c r="L77" s="632"/>
      <c r="M77" s="632" t="s">
        <v>314</v>
      </c>
      <c r="N77" s="632"/>
      <c r="O77" s="632"/>
      <c r="P77" s="632" t="s">
        <v>67</v>
      </c>
      <c r="Q77" s="632"/>
      <c r="R77" s="632"/>
      <c r="S77" s="632"/>
      <c r="T77" s="632"/>
      <c r="U77" s="632"/>
      <c r="V77" s="632"/>
      <c r="W77" s="632"/>
      <c r="X77" s="633"/>
    </row>
    <row r="78" spans="1:24" s="1" customFormat="1" x14ac:dyDescent="0.2">
      <c r="A78" s="677"/>
      <c r="B78" s="394" t="s">
        <v>124</v>
      </c>
      <c r="C78" s="175">
        <v>4</v>
      </c>
      <c r="D78" s="215"/>
      <c r="E78" s="70" t="s">
        <v>65</v>
      </c>
      <c r="F78" s="3"/>
      <c r="G78" s="3"/>
      <c r="H78" s="332"/>
      <c r="I78" s="339"/>
      <c r="J78" s="641"/>
      <c r="K78" s="629"/>
      <c r="L78" s="629"/>
      <c r="M78" s="629"/>
      <c r="N78" s="629"/>
      <c r="O78" s="629"/>
      <c r="P78" s="629"/>
      <c r="Q78" s="629"/>
      <c r="R78" s="629"/>
      <c r="S78" s="629"/>
      <c r="T78" s="629"/>
      <c r="U78" s="629"/>
      <c r="V78" s="629"/>
      <c r="W78" s="629"/>
      <c r="X78" s="630"/>
    </row>
    <row r="79" spans="1:24" s="345" customFormat="1" x14ac:dyDescent="0.2">
      <c r="A79" s="677"/>
      <c r="B79" s="395"/>
      <c r="C79" s="346"/>
      <c r="D79" s="303"/>
      <c r="E79" s="347"/>
      <c r="F79" s="303"/>
      <c r="G79" s="303"/>
      <c r="H79" s="347"/>
      <c r="I79" s="348"/>
      <c r="J79" s="631"/>
      <c r="K79" s="632"/>
      <c r="L79" s="632"/>
      <c r="M79" s="632"/>
      <c r="N79" s="632"/>
      <c r="O79" s="632"/>
      <c r="P79" s="632"/>
      <c r="Q79" s="632"/>
      <c r="R79" s="632"/>
      <c r="S79" s="632"/>
      <c r="T79" s="632"/>
      <c r="U79" s="632"/>
      <c r="V79" s="632"/>
      <c r="W79" s="632"/>
      <c r="X79" s="633"/>
    </row>
    <row r="80" spans="1:24" s="1" customFormat="1" x14ac:dyDescent="0.2">
      <c r="A80" s="677"/>
      <c r="B80" s="394"/>
      <c r="C80" s="175"/>
      <c r="D80" s="3"/>
      <c r="E80" s="332"/>
      <c r="F80" s="3"/>
      <c r="G80" s="3"/>
      <c r="H80" s="332"/>
      <c r="I80" s="339"/>
      <c r="J80" s="641"/>
      <c r="K80" s="629"/>
      <c r="L80" s="629"/>
      <c r="M80" s="629"/>
      <c r="N80" s="629"/>
      <c r="O80" s="629"/>
      <c r="P80" s="629"/>
      <c r="Q80" s="629"/>
      <c r="R80" s="629"/>
      <c r="S80" s="629"/>
      <c r="T80" s="629"/>
      <c r="U80" s="629"/>
      <c r="V80" s="629"/>
      <c r="W80" s="629"/>
      <c r="X80" s="630"/>
    </row>
    <row r="81" spans="1:41" s="345" customFormat="1" x14ac:dyDescent="0.2">
      <c r="A81" s="677"/>
      <c r="B81" s="395"/>
      <c r="C81" s="346"/>
      <c r="D81" s="303"/>
      <c r="E81" s="347"/>
      <c r="F81" s="303"/>
      <c r="G81" s="303"/>
      <c r="H81" s="347"/>
      <c r="I81" s="348"/>
      <c r="J81" s="631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3"/>
    </row>
    <row r="82" spans="1:41" s="362" customFormat="1" x14ac:dyDescent="0.2">
      <c r="A82" s="678"/>
      <c r="B82" s="396"/>
      <c r="C82" s="360"/>
      <c r="D82" s="333"/>
      <c r="E82" s="334"/>
      <c r="F82" s="333"/>
      <c r="G82" s="333"/>
      <c r="H82" s="334"/>
      <c r="I82" s="361"/>
      <c r="J82" s="656"/>
      <c r="K82" s="657"/>
      <c r="L82" s="657"/>
      <c r="M82" s="657"/>
      <c r="N82" s="657"/>
      <c r="O82" s="657"/>
      <c r="P82" s="657"/>
      <c r="Q82" s="657"/>
      <c r="R82" s="657"/>
      <c r="S82" s="679"/>
      <c r="T82" s="679"/>
      <c r="U82" s="679"/>
      <c r="V82" s="657"/>
      <c r="W82" s="657"/>
      <c r="X82" s="658"/>
    </row>
    <row r="83" spans="1:41" s="345" customFormat="1" ht="15" customHeight="1" x14ac:dyDescent="0.2">
      <c r="A83" s="680" t="s">
        <v>125</v>
      </c>
      <c r="B83" s="397"/>
      <c r="C83" s="350"/>
      <c r="D83" s="344"/>
      <c r="E83" s="342"/>
      <c r="F83" s="344"/>
      <c r="G83" s="344"/>
      <c r="H83" s="342"/>
      <c r="I83" s="343"/>
      <c r="J83" s="653"/>
      <c r="K83" s="654"/>
      <c r="L83" s="654"/>
      <c r="M83" s="654"/>
      <c r="N83" s="654"/>
      <c r="O83" s="654"/>
      <c r="P83" s="654"/>
      <c r="Q83" s="654"/>
      <c r="R83" s="654"/>
      <c r="S83" s="675"/>
      <c r="T83" s="675"/>
      <c r="U83" s="675"/>
      <c r="V83" s="654"/>
      <c r="W83" s="654"/>
      <c r="X83" s="655"/>
    </row>
    <row r="84" spans="1:41" s="1" customFormat="1" ht="15" customHeight="1" x14ac:dyDescent="0.2">
      <c r="A84" s="681"/>
      <c r="B84" s="394"/>
      <c r="C84" s="175"/>
      <c r="D84" s="3"/>
      <c r="E84" s="332"/>
      <c r="F84" s="3"/>
      <c r="G84" s="3"/>
      <c r="H84" s="332"/>
      <c r="I84" s="339"/>
      <c r="J84" s="641"/>
      <c r="K84" s="629"/>
      <c r="L84" s="629"/>
      <c r="M84" s="629"/>
      <c r="N84" s="629"/>
      <c r="O84" s="629"/>
      <c r="P84" s="629"/>
      <c r="Q84" s="629"/>
      <c r="R84" s="629"/>
      <c r="S84" s="629"/>
      <c r="T84" s="629"/>
      <c r="U84" s="629"/>
      <c r="V84" s="629"/>
      <c r="W84" s="629"/>
      <c r="X84" s="630"/>
    </row>
    <row r="85" spans="1:41" s="345" customFormat="1" ht="15" customHeight="1" x14ac:dyDescent="0.2">
      <c r="A85" s="681"/>
      <c r="B85" s="395"/>
      <c r="C85" s="346"/>
      <c r="D85" s="303"/>
      <c r="E85" s="347"/>
      <c r="F85" s="303"/>
      <c r="G85" s="303"/>
      <c r="H85" s="347"/>
      <c r="I85" s="348"/>
      <c r="J85" s="631"/>
      <c r="K85" s="632"/>
      <c r="L85" s="632"/>
      <c r="M85" s="632"/>
      <c r="N85" s="632"/>
      <c r="O85" s="632"/>
      <c r="P85" s="632"/>
      <c r="Q85" s="632"/>
      <c r="R85" s="632"/>
      <c r="S85" s="632"/>
      <c r="T85" s="632"/>
      <c r="U85" s="632"/>
      <c r="V85" s="632"/>
      <c r="W85" s="632"/>
      <c r="X85" s="633"/>
    </row>
    <row r="86" spans="1:41" s="1" customFormat="1" ht="15" customHeight="1" x14ac:dyDescent="0.2">
      <c r="A86" s="681"/>
      <c r="B86" s="394"/>
      <c r="C86" s="175"/>
      <c r="D86" s="3"/>
      <c r="E86" s="332"/>
      <c r="F86" s="3"/>
      <c r="G86" s="3"/>
      <c r="H86" s="332"/>
      <c r="I86" s="339"/>
      <c r="J86" s="641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30"/>
    </row>
    <row r="87" spans="1:41" s="345" customFormat="1" ht="15" customHeight="1" x14ac:dyDescent="0.2">
      <c r="A87" s="681"/>
      <c r="B87" s="395"/>
      <c r="C87" s="346"/>
      <c r="D87" s="303"/>
      <c r="E87" s="347"/>
      <c r="F87" s="303"/>
      <c r="G87" s="303"/>
      <c r="H87" s="347"/>
      <c r="I87" s="348"/>
      <c r="J87" s="631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3"/>
    </row>
    <row r="88" spans="1:41" s="1" customFormat="1" ht="15" customHeight="1" x14ac:dyDescent="0.2">
      <c r="A88" s="681"/>
      <c r="B88" s="394"/>
      <c r="C88" s="175"/>
      <c r="D88" s="3"/>
      <c r="E88" s="332"/>
      <c r="F88" s="3"/>
      <c r="G88" s="3"/>
      <c r="H88" s="332"/>
      <c r="I88" s="339"/>
      <c r="J88" s="641"/>
      <c r="K88" s="629"/>
      <c r="L88" s="629"/>
      <c r="M88" s="629"/>
      <c r="N88" s="629"/>
      <c r="O88" s="629"/>
      <c r="P88" s="629"/>
      <c r="Q88" s="629"/>
      <c r="R88" s="629"/>
      <c r="S88" s="629"/>
      <c r="T88" s="629"/>
      <c r="U88" s="629"/>
      <c r="V88" s="629"/>
      <c r="W88" s="629"/>
      <c r="X88" s="630"/>
    </row>
    <row r="89" spans="1:41" s="345" customFormat="1" ht="15" customHeight="1" x14ac:dyDescent="0.2">
      <c r="A89" s="681"/>
      <c r="B89" s="395"/>
      <c r="C89" s="346"/>
      <c r="D89" s="303"/>
      <c r="E89" s="347"/>
      <c r="F89" s="303"/>
      <c r="G89" s="303"/>
      <c r="H89" s="347"/>
      <c r="I89" s="348"/>
      <c r="J89" s="631"/>
      <c r="K89" s="632"/>
      <c r="L89" s="632"/>
      <c r="M89" s="632"/>
      <c r="N89" s="632"/>
      <c r="O89" s="632"/>
      <c r="P89" s="632"/>
      <c r="Q89" s="632"/>
      <c r="R89" s="632"/>
      <c r="S89" s="632"/>
      <c r="T89" s="632"/>
      <c r="U89" s="632"/>
      <c r="V89" s="632"/>
      <c r="W89" s="632"/>
      <c r="X89" s="633"/>
    </row>
    <row r="90" spans="1:41" s="1" customFormat="1" ht="15" customHeight="1" x14ac:dyDescent="0.2">
      <c r="A90" s="681"/>
      <c r="B90" s="394"/>
      <c r="C90" s="175"/>
      <c r="D90" s="3"/>
      <c r="E90" s="332"/>
      <c r="F90" s="3"/>
      <c r="G90" s="3"/>
      <c r="H90" s="332"/>
      <c r="I90" s="339"/>
      <c r="J90" s="641"/>
      <c r="K90" s="629"/>
      <c r="L90" s="629"/>
      <c r="M90" s="629"/>
      <c r="N90" s="629"/>
      <c r="O90" s="629"/>
      <c r="P90" s="629"/>
      <c r="Q90" s="629"/>
      <c r="R90" s="629"/>
      <c r="S90" s="629"/>
      <c r="T90" s="629"/>
      <c r="U90" s="629"/>
      <c r="V90" s="629"/>
      <c r="W90" s="629"/>
      <c r="X90" s="630"/>
    </row>
    <row r="91" spans="1:41" s="345" customFormat="1" ht="15" customHeight="1" x14ac:dyDescent="0.2">
      <c r="A91" s="681"/>
      <c r="B91" s="395"/>
      <c r="C91" s="346"/>
      <c r="D91" s="303"/>
      <c r="E91" s="347"/>
      <c r="F91" s="303"/>
      <c r="G91" s="303"/>
      <c r="H91" s="347"/>
      <c r="I91" s="348"/>
      <c r="J91" s="631"/>
      <c r="K91" s="632"/>
      <c r="L91" s="632"/>
      <c r="M91" s="632"/>
      <c r="N91" s="632"/>
      <c r="O91" s="632"/>
      <c r="P91" s="632"/>
      <c r="Q91" s="632"/>
      <c r="R91" s="632"/>
      <c r="S91" s="632"/>
      <c r="T91" s="632"/>
      <c r="U91" s="632"/>
      <c r="V91" s="632"/>
      <c r="W91" s="632"/>
      <c r="X91" s="633"/>
    </row>
    <row r="92" spans="1:41" s="362" customFormat="1" x14ac:dyDescent="0.2">
      <c r="A92" s="682"/>
      <c r="B92" s="396"/>
      <c r="C92" s="360"/>
      <c r="D92" s="333"/>
      <c r="E92" s="334"/>
      <c r="F92" s="333"/>
      <c r="G92" s="333"/>
      <c r="H92" s="334"/>
      <c r="I92" s="361"/>
      <c r="J92" s="656"/>
      <c r="K92" s="657"/>
      <c r="L92" s="657"/>
      <c r="M92" s="657"/>
      <c r="N92" s="657"/>
      <c r="O92" s="657"/>
      <c r="P92" s="657"/>
      <c r="Q92" s="657"/>
      <c r="R92" s="657"/>
      <c r="S92" s="657"/>
      <c r="T92" s="657"/>
      <c r="U92" s="657"/>
      <c r="V92" s="657"/>
      <c r="W92" s="657"/>
      <c r="X92" s="658"/>
    </row>
    <row r="93" spans="1:41" s="352" customFormat="1" x14ac:dyDescent="0.2">
      <c r="A93" s="683" t="s">
        <v>126</v>
      </c>
      <c r="B93" s="349" t="s">
        <v>127</v>
      </c>
      <c r="C93" s="350">
        <v>6</v>
      </c>
      <c r="D93" s="165"/>
      <c r="E93" s="388" t="s">
        <v>65</v>
      </c>
      <c r="F93" s="344"/>
      <c r="G93" s="344"/>
      <c r="H93" s="342">
        <v>2</v>
      </c>
      <c r="I93" s="343"/>
      <c r="J93" s="653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5"/>
      <c r="Y93" s="345"/>
      <c r="Z93" s="345"/>
      <c r="AA93" s="345"/>
      <c r="AB93" s="345"/>
      <c r="AC93" s="345"/>
      <c r="AD93" s="345"/>
      <c r="AE93" s="345"/>
      <c r="AF93" s="345"/>
      <c r="AG93" s="345"/>
      <c r="AH93" s="345"/>
      <c r="AI93" s="345"/>
      <c r="AJ93" s="345"/>
      <c r="AK93" s="345"/>
      <c r="AL93" s="345"/>
      <c r="AM93" s="345"/>
      <c r="AN93" s="345"/>
      <c r="AO93" s="345"/>
    </row>
    <row r="94" spans="1:41" x14ac:dyDescent="0.2">
      <c r="A94" s="684"/>
      <c r="B94" s="336" t="s">
        <v>128</v>
      </c>
      <c r="C94" s="175">
        <v>4</v>
      </c>
      <c r="D94" s="14"/>
      <c r="E94" s="389" t="s">
        <v>65</v>
      </c>
      <c r="F94" s="3" t="s">
        <v>72</v>
      </c>
      <c r="G94" s="3"/>
      <c r="H94" s="332">
        <v>2</v>
      </c>
      <c r="I94" s="339"/>
      <c r="J94" s="641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30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s="352" customFormat="1" x14ac:dyDescent="0.2">
      <c r="A95" s="684"/>
      <c r="B95" s="351" t="s">
        <v>129</v>
      </c>
      <c r="C95" s="346">
        <v>3</v>
      </c>
      <c r="D95" s="14"/>
      <c r="E95" s="389" t="s">
        <v>71</v>
      </c>
      <c r="F95" s="303" t="s">
        <v>130</v>
      </c>
      <c r="G95" s="303"/>
      <c r="H95" s="347">
        <v>2</v>
      </c>
      <c r="I95" s="348"/>
      <c r="J95" s="631"/>
      <c r="K95" s="632"/>
      <c r="L95" s="632"/>
      <c r="M95" s="632"/>
      <c r="N95" s="632"/>
      <c r="O95" s="632"/>
      <c r="P95" s="632"/>
      <c r="Q95" s="632"/>
      <c r="R95" s="632"/>
      <c r="S95" s="632"/>
      <c r="T95" s="632"/>
      <c r="U95" s="632"/>
      <c r="V95" s="632"/>
      <c r="W95" s="632"/>
      <c r="X95" s="633"/>
      <c r="Y95" s="345"/>
      <c r="Z95" s="345"/>
      <c r="AA95" s="345"/>
      <c r="AB95" s="345"/>
      <c r="AC95" s="345"/>
      <c r="AD95" s="345"/>
      <c r="AE95" s="345"/>
      <c r="AF95" s="345"/>
      <c r="AG95" s="345"/>
      <c r="AH95" s="345"/>
      <c r="AI95" s="345"/>
      <c r="AJ95" s="345"/>
      <c r="AK95" s="345"/>
      <c r="AL95" s="345"/>
      <c r="AM95" s="345"/>
      <c r="AN95" s="345"/>
      <c r="AO95" s="345"/>
    </row>
    <row r="96" spans="1:41" ht="15" customHeight="1" x14ac:dyDescent="0.2">
      <c r="A96" s="684"/>
      <c r="B96" s="337" t="s">
        <v>131</v>
      </c>
      <c r="C96" s="175">
        <v>6</v>
      </c>
      <c r="D96" s="14"/>
      <c r="E96" s="389" t="s">
        <v>71</v>
      </c>
      <c r="F96" s="3" t="s">
        <v>72</v>
      </c>
      <c r="G96" s="3"/>
      <c r="H96" s="332">
        <v>2</v>
      </c>
      <c r="I96" s="339"/>
      <c r="J96" s="641"/>
      <c r="K96" s="629"/>
      <c r="L96" s="629"/>
      <c r="M96" s="629"/>
      <c r="N96" s="629"/>
      <c r="O96" s="629"/>
      <c r="P96" s="629"/>
      <c r="Q96" s="629"/>
      <c r="R96" s="629"/>
      <c r="S96" s="629"/>
      <c r="T96" s="629"/>
      <c r="U96" s="629"/>
      <c r="V96" s="629"/>
      <c r="W96" s="629"/>
      <c r="X96" s="630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s="352" customFormat="1" x14ac:dyDescent="0.2">
      <c r="A97" s="684"/>
      <c r="B97" s="353" t="s">
        <v>132</v>
      </c>
      <c r="C97" s="346">
        <v>5</v>
      </c>
      <c r="D97" s="14"/>
      <c r="E97" s="389" t="s">
        <v>71</v>
      </c>
      <c r="F97" s="303"/>
      <c r="G97" s="303"/>
      <c r="H97" s="347">
        <v>2</v>
      </c>
      <c r="I97" s="348"/>
      <c r="J97" s="631"/>
      <c r="K97" s="632"/>
      <c r="L97" s="632"/>
      <c r="M97" s="632"/>
      <c r="N97" s="632"/>
      <c r="O97" s="632"/>
      <c r="P97" s="632"/>
      <c r="Q97" s="632"/>
      <c r="R97" s="632"/>
      <c r="S97" s="632"/>
      <c r="T97" s="632"/>
      <c r="U97" s="632"/>
      <c r="V97" s="632"/>
      <c r="W97" s="632"/>
      <c r="X97" s="633"/>
      <c r="Y97" s="345"/>
      <c r="Z97" s="345"/>
      <c r="AA97" s="345"/>
      <c r="AB97" s="345"/>
      <c r="AC97" s="345"/>
      <c r="AD97" s="345"/>
      <c r="AE97" s="345"/>
      <c r="AF97" s="345"/>
      <c r="AG97" s="345"/>
      <c r="AH97" s="345"/>
      <c r="AI97" s="345"/>
      <c r="AJ97" s="345"/>
      <c r="AK97" s="345"/>
      <c r="AL97" s="345"/>
      <c r="AM97" s="345"/>
      <c r="AN97" s="345"/>
      <c r="AO97" s="345"/>
    </row>
    <row r="98" spans="1:41" x14ac:dyDescent="0.2">
      <c r="A98" s="684"/>
      <c r="B98" s="336" t="s">
        <v>133</v>
      </c>
      <c r="C98" s="175">
        <v>2</v>
      </c>
      <c r="D98" s="14"/>
      <c r="E98" s="389" t="s">
        <v>71</v>
      </c>
      <c r="F98" s="3"/>
      <c r="G98" s="3"/>
      <c r="H98" s="332">
        <v>2</v>
      </c>
      <c r="I98" s="339"/>
      <c r="J98" s="641"/>
      <c r="K98" s="629"/>
      <c r="L98" s="629"/>
      <c r="M98" s="629"/>
      <c r="N98" s="629"/>
      <c r="O98" s="629"/>
      <c r="P98" s="629"/>
      <c r="Q98" s="629"/>
      <c r="R98" s="629"/>
      <c r="S98" s="629"/>
      <c r="T98" s="629"/>
      <c r="U98" s="629"/>
      <c r="V98" s="629"/>
      <c r="W98" s="629"/>
      <c r="X98" s="630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s="352" customFormat="1" x14ac:dyDescent="0.2">
      <c r="A99" s="684"/>
      <c r="B99" s="351"/>
      <c r="C99" s="346"/>
      <c r="D99" s="303"/>
      <c r="E99" s="347"/>
      <c r="F99" s="303"/>
      <c r="G99" s="303"/>
      <c r="H99" s="347"/>
      <c r="I99" s="348"/>
      <c r="J99" s="631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3"/>
      <c r="Y99" s="345"/>
      <c r="Z99" s="345"/>
      <c r="AA99" s="345"/>
      <c r="AB99" s="345"/>
      <c r="AC99" s="345"/>
      <c r="AD99" s="345"/>
      <c r="AE99" s="345"/>
      <c r="AF99" s="345"/>
      <c r="AG99" s="345"/>
      <c r="AH99" s="345"/>
      <c r="AI99" s="345"/>
      <c r="AJ99" s="345"/>
      <c r="AK99" s="345"/>
      <c r="AL99" s="345"/>
      <c r="AM99" s="345"/>
      <c r="AN99" s="345"/>
      <c r="AO99" s="345"/>
    </row>
    <row r="100" spans="1:41" x14ac:dyDescent="0.2">
      <c r="A100" s="684"/>
      <c r="B100" s="2"/>
      <c r="C100" s="175"/>
      <c r="D100" s="3"/>
      <c r="E100" s="332"/>
      <c r="F100" s="3"/>
      <c r="G100" s="3"/>
      <c r="H100" s="332"/>
      <c r="I100" s="339"/>
      <c r="J100" s="641"/>
      <c r="K100" s="629"/>
      <c r="L100" s="629"/>
      <c r="M100" s="629"/>
      <c r="N100" s="629"/>
      <c r="O100" s="629"/>
      <c r="P100" s="629"/>
      <c r="Q100" s="629"/>
      <c r="R100" s="629"/>
      <c r="S100" s="629"/>
      <c r="T100" s="629"/>
      <c r="U100" s="629"/>
      <c r="V100" s="629"/>
      <c r="W100" s="629"/>
      <c r="X100" s="630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s="352" customFormat="1" x14ac:dyDescent="0.2">
      <c r="A101" s="684"/>
      <c r="B101" s="351"/>
      <c r="C101" s="346"/>
      <c r="D101" s="303"/>
      <c r="E101" s="347"/>
      <c r="F101" s="303"/>
      <c r="G101" s="303"/>
      <c r="H101" s="347"/>
      <c r="I101" s="348"/>
      <c r="J101" s="631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3"/>
      <c r="Y101" s="345"/>
      <c r="Z101" s="345"/>
      <c r="AA101" s="345"/>
      <c r="AB101" s="345"/>
      <c r="AC101" s="345"/>
      <c r="AD101" s="345"/>
      <c r="AE101" s="345"/>
      <c r="AF101" s="345"/>
      <c r="AG101" s="345"/>
      <c r="AH101" s="345"/>
      <c r="AI101" s="345"/>
      <c r="AJ101" s="345"/>
      <c r="AK101" s="345"/>
      <c r="AL101" s="345"/>
      <c r="AM101" s="345"/>
      <c r="AN101" s="345"/>
      <c r="AO101" s="345"/>
    </row>
    <row r="102" spans="1:41" x14ac:dyDescent="0.2">
      <c r="A102" s="685"/>
      <c r="B102" s="338"/>
      <c r="C102" s="360"/>
      <c r="D102" s="333"/>
      <c r="E102" s="334"/>
      <c r="F102" s="333"/>
      <c r="G102" s="333"/>
      <c r="H102" s="334"/>
      <c r="I102" s="361"/>
      <c r="J102" s="656"/>
      <c r="K102" s="657"/>
      <c r="L102" s="657"/>
      <c r="M102" s="657"/>
      <c r="N102" s="657"/>
      <c r="O102" s="657"/>
      <c r="P102" s="657"/>
      <c r="Q102" s="657"/>
      <c r="R102" s="657"/>
      <c r="S102" s="657"/>
      <c r="T102" s="657"/>
      <c r="U102" s="657"/>
      <c r="V102" s="657"/>
      <c r="W102" s="657"/>
      <c r="X102" s="658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x14ac:dyDescent="0.2">
      <c r="A103" s="305"/>
      <c r="B103" s="1"/>
      <c r="C103" s="1"/>
      <c r="D103" s="1"/>
      <c r="E103" s="1"/>
      <c r="F103" s="1"/>
      <c r="G103" s="1"/>
      <c r="H103" s="32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idden="1" x14ac:dyDescent="0.2">
      <c r="A104" s="77"/>
    </row>
    <row r="105" spans="1:41" hidden="1" x14ac:dyDescent="0.2">
      <c r="A105" s="77"/>
    </row>
    <row r="106" spans="1:41" hidden="1" x14ac:dyDescent="0.2">
      <c r="A106" s="77"/>
    </row>
    <row r="107" spans="1:41" hidden="1" x14ac:dyDescent="0.2">
      <c r="A107" s="77"/>
    </row>
    <row r="108" spans="1:41" hidden="1" x14ac:dyDescent="0.2">
      <c r="A108" s="77"/>
    </row>
    <row r="109" spans="1:41" hidden="1" x14ac:dyDescent="0.2">
      <c r="A109" s="77"/>
    </row>
    <row r="110" spans="1:41" hidden="1" x14ac:dyDescent="0.2">
      <c r="A110" s="77"/>
    </row>
    <row r="111" spans="1:41" hidden="1" x14ac:dyDescent="0.2">
      <c r="A111" s="77"/>
    </row>
    <row r="112" spans="1:41" hidden="1" x14ac:dyDescent="0.2">
      <c r="A112" s="77"/>
    </row>
    <row r="113" spans="1:1" hidden="1" x14ac:dyDescent="0.2">
      <c r="A113" s="77"/>
    </row>
    <row r="114" spans="1:1" hidden="1" x14ac:dyDescent="0.2">
      <c r="A114" s="77"/>
    </row>
    <row r="115" spans="1:1" hidden="1" x14ac:dyDescent="0.2">
      <c r="A115" s="77"/>
    </row>
    <row r="116" spans="1:1" hidden="1" x14ac:dyDescent="0.2">
      <c r="A116" s="77"/>
    </row>
    <row r="117" spans="1:1" hidden="1" x14ac:dyDescent="0.2">
      <c r="A117" s="77"/>
    </row>
    <row r="118" spans="1:1" hidden="1" x14ac:dyDescent="0.2">
      <c r="A118" s="77"/>
    </row>
    <row r="119" spans="1:1" hidden="1" x14ac:dyDescent="0.2">
      <c r="A119" s="77"/>
    </row>
    <row r="120" spans="1:1" hidden="1" x14ac:dyDescent="0.2">
      <c r="A120" s="77"/>
    </row>
    <row r="121" spans="1:1" hidden="1" x14ac:dyDescent="0.2">
      <c r="A121" s="77"/>
    </row>
    <row r="122" spans="1:1" hidden="1" x14ac:dyDescent="0.2">
      <c r="A122" s="77"/>
    </row>
    <row r="123" spans="1:1" hidden="1" x14ac:dyDescent="0.2">
      <c r="A123" s="77"/>
    </row>
    <row r="124" spans="1:1" hidden="1" x14ac:dyDescent="0.2">
      <c r="A124" s="77"/>
    </row>
    <row r="125" spans="1:1" hidden="1" x14ac:dyDescent="0.2">
      <c r="A125" s="77"/>
    </row>
    <row r="126" spans="1:1" hidden="1" x14ac:dyDescent="0.2">
      <c r="A126" s="77"/>
    </row>
    <row r="127" spans="1:1" hidden="1" x14ac:dyDescent="0.2">
      <c r="A127" s="77"/>
    </row>
    <row r="128" spans="1:1" hidden="1" x14ac:dyDescent="0.2">
      <c r="A128" s="77"/>
    </row>
    <row r="129" spans="1:1" hidden="1" x14ac:dyDescent="0.2">
      <c r="A129" s="77"/>
    </row>
    <row r="130" spans="1:1" hidden="1" x14ac:dyDescent="0.2">
      <c r="A130" s="77"/>
    </row>
    <row r="131" spans="1:1" hidden="1" x14ac:dyDescent="0.2">
      <c r="A131" s="77"/>
    </row>
    <row r="132" spans="1:1" hidden="1" x14ac:dyDescent="0.2">
      <c r="A132" s="77"/>
    </row>
    <row r="133" spans="1:1" hidden="1" x14ac:dyDescent="0.2">
      <c r="A133" s="77"/>
    </row>
    <row r="134" spans="1:1" hidden="1" x14ac:dyDescent="0.2">
      <c r="A134" s="77"/>
    </row>
    <row r="135" spans="1:1" hidden="1" x14ac:dyDescent="0.2">
      <c r="A135" s="77"/>
    </row>
    <row r="136" spans="1:1" hidden="1" x14ac:dyDescent="0.2">
      <c r="A136" s="77"/>
    </row>
    <row r="137" spans="1:1" hidden="1" x14ac:dyDescent="0.2">
      <c r="A137" s="77"/>
    </row>
    <row r="138" spans="1:1" hidden="1" x14ac:dyDescent="0.2">
      <c r="A138" s="77"/>
    </row>
    <row r="139" spans="1:1" hidden="1" x14ac:dyDescent="0.2">
      <c r="A139" s="77"/>
    </row>
    <row r="140" spans="1:1" hidden="1" x14ac:dyDescent="0.2">
      <c r="A140" s="77"/>
    </row>
    <row r="141" spans="1:1" hidden="1" x14ac:dyDescent="0.2">
      <c r="A141" s="77"/>
    </row>
    <row r="142" spans="1:1" hidden="1" x14ac:dyDescent="0.2">
      <c r="A142" s="77"/>
    </row>
    <row r="143" spans="1:1" hidden="1" x14ac:dyDescent="0.2">
      <c r="A143" s="77"/>
    </row>
    <row r="144" spans="1:1" hidden="1" x14ac:dyDescent="0.2">
      <c r="A144" s="77"/>
    </row>
    <row r="145" spans="1:1" hidden="1" x14ac:dyDescent="0.2">
      <c r="A145" s="77"/>
    </row>
    <row r="146" spans="1:1" hidden="1" x14ac:dyDescent="0.2">
      <c r="A146" s="77"/>
    </row>
    <row r="147" spans="1:1" hidden="1" x14ac:dyDescent="0.2">
      <c r="A147" s="77"/>
    </row>
    <row r="148" spans="1:1" hidden="1" x14ac:dyDescent="0.2">
      <c r="A148" s="77"/>
    </row>
    <row r="149" spans="1:1" hidden="1" x14ac:dyDescent="0.2">
      <c r="A149" s="77"/>
    </row>
    <row r="150" spans="1:1" hidden="1" x14ac:dyDescent="0.2">
      <c r="A150" s="77"/>
    </row>
    <row r="151" spans="1:1" hidden="1" x14ac:dyDescent="0.2">
      <c r="A151" s="77"/>
    </row>
    <row r="152" spans="1:1" hidden="1" x14ac:dyDescent="0.2">
      <c r="A152" s="77"/>
    </row>
    <row r="153" spans="1:1" hidden="1" x14ac:dyDescent="0.2">
      <c r="A153" s="77"/>
    </row>
    <row r="154" spans="1:1" hidden="1" x14ac:dyDescent="0.2">
      <c r="A154" s="77"/>
    </row>
    <row r="155" spans="1:1" hidden="1" x14ac:dyDescent="0.2">
      <c r="A155" s="77"/>
    </row>
    <row r="156" spans="1:1" hidden="1" x14ac:dyDescent="0.2">
      <c r="A156" s="77"/>
    </row>
    <row r="157" spans="1:1" hidden="1" x14ac:dyDescent="0.2">
      <c r="A157" s="77"/>
    </row>
    <row r="158" spans="1:1" hidden="1" x14ac:dyDescent="0.2">
      <c r="A158" s="77"/>
    </row>
    <row r="159" spans="1:1" hidden="1" x14ac:dyDescent="0.2">
      <c r="A159" s="77"/>
    </row>
    <row r="160" spans="1:1" hidden="1" x14ac:dyDescent="0.2">
      <c r="A160" s="77"/>
    </row>
    <row r="161" spans="1:1" hidden="1" x14ac:dyDescent="0.2">
      <c r="A161" s="77"/>
    </row>
    <row r="162" spans="1:1" hidden="1" x14ac:dyDescent="0.2">
      <c r="A162" s="77"/>
    </row>
    <row r="163" spans="1:1" hidden="1" x14ac:dyDescent="0.2">
      <c r="A163" s="77"/>
    </row>
    <row r="164" spans="1:1" hidden="1" x14ac:dyDescent="0.2">
      <c r="A164" s="77"/>
    </row>
    <row r="165" spans="1:1" hidden="1" x14ac:dyDescent="0.2">
      <c r="A165" s="77"/>
    </row>
    <row r="166" spans="1:1" hidden="1" x14ac:dyDescent="0.2">
      <c r="A166" s="77"/>
    </row>
    <row r="167" spans="1:1" hidden="1" x14ac:dyDescent="0.2">
      <c r="A167" s="77"/>
    </row>
    <row r="168" spans="1:1" hidden="1" x14ac:dyDescent="0.2">
      <c r="A168" s="77"/>
    </row>
    <row r="169" spans="1:1" hidden="1" x14ac:dyDescent="0.2">
      <c r="A169" s="77"/>
    </row>
    <row r="170" spans="1:1" hidden="1" x14ac:dyDescent="0.2">
      <c r="A170" s="77"/>
    </row>
    <row r="171" spans="1:1" hidden="1" x14ac:dyDescent="0.2">
      <c r="A171" s="77"/>
    </row>
    <row r="172" spans="1:1" hidden="1" x14ac:dyDescent="0.2">
      <c r="A172" s="77"/>
    </row>
    <row r="173" spans="1:1" hidden="1" x14ac:dyDescent="0.2">
      <c r="A173" s="77"/>
    </row>
    <row r="174" spans="1:1" hidden="1" x14ac:dyDescent="0.2">
      <c r="A174" s="77"/>
    </row>
    <row r="175" spans="1:1" hidden="1" x14ac:dyDescent="0.2">
      <c r="A175" s="77"/>
    </row>
    <row r="176" spans="1:1" hidden="1" x14ac:dyDescent="0.2">
      <c r="A176" s="77"/>
    </row>
    <row r="177" spans="1:1" hidden="1" x14ac:dyDescent="0.2">
      <c r="A177" s="77"/>
    </row>
    <row r="178" spans="1:1" hidden="1" x14ac:dyDescent="0.2">
      <c r="A178" s="77"/>
    </row>
    <row r="179" spans="1:1" hidden="1" x14ac:dyDescent="0.2">
      <c r="A179" s="77"/>
    </row>
    <row r="180" spans="1:1" hidden="1" x14ac:dyDescent="0.2">
      <c r="A180" s="77"/>
    </row>
    <row r="181" spans="1:1" hidden="1" x14ac:dyDescent="0.2">
      <c r="A181" s="77"/>
    </row>
    <row r="182" spans="1:1" hidden="1" x14ac:dyDescent="0.2">
      <c r="A182" s="77"/>
    </row>
    <row r="183" spans="1:1" hidden="1" x14ac:dyDescent="0.2">
      <c r="A183" s="77"/>
    </row>
    <row r="184" spans="1:1" hidden="1" x14ac:dyDescent="0.2">
      <c r="A184" s="77"/>
    </row>
    <row r="185" spans="1:1" hidden="1" x14ac:dyDescent="0.2">
      <c r="A185" s="77"/>
    </row>
    <row r="186" spans="1:1" hidden="1" x14ac:dyDescent="0.2">
      <c r="A186" s="77"/>
    </row>
    <row r="187" spans="1:1" hidden="1" x14ac:dyDescent="0.2">
      <c r="A187" s="77"/>
    </row>
    <row r="188" spans="1:1" hidden="1" x14ac:dyDescent="0.2">
      <c r="A188" s="77"/>
    </row>
    <row r="189" spans="1:1" hidden="1" x14ac:dyDescent="0.2">
      <c r="A189" s="77"/>
    </row>
    <row r="190" spans="1:1" hidden="1" x14ac:dyDescent="0.2">
      <c r="A190" s="77"/>
    </row>
    <row r="191" spans="1:1" hidden="1" x14ac:dyDescent="0.2">
      <c r="A191" s="77"/>
    </row>
    <row r="192" spans="1:1" hidden="1" x14ac:dyDescent="0.2">
      <c r="A192" s="77"/>
    </row>
    <row r="193" spans="1:1" hidden="1" x14ac:dyDescent="0.2">
      <c r="A193" s="77"/>
    </row>
    <row r="194" spans="1:1" hidden="1" x14ac:dyDescent="0.2"/>
    <row r="195" spans="1:1" hidden="1" x14ac:dyDescent="0.2"/>
    <row r="196" spans="1:1" hidden="1" x14ac:dyDescent="0.2"/>
    <row r="197" spans="1:1" hidden="1" x14ac:dyDescent="0.2"/>
    <row r="198" spans="1:1" hidden="1" x14ac:dyDescent="0.2"/>
    <row r="199" spans="1:1" hidden="1" x14ac:dyDescent="0.2"/>
    <row r="200" spans="1:1" hidden="1" x14ac:dyDescent="0.2"/>
    <row r="201" spans="1:1" hidden="1" x14ac:dyDescent="0.2"/>
    <row r="202" spans="1:1" hidden="1" x14ac:dyDescent="0.2"/>
    <row r="203" spans="1:1" hidden="1" x14ac:dyDescent="0.2"/>
    <row r="204" spans="1:1" hidden="1" x14ac:dyDescent="0.2"/>
    <row r="205" spans="1:1" hidden="1" x14ac:dyDescent="0.2"/>
    <row r="206" spans="1:1" hidden="1" x14ac:dyDescent="0.2"/>
    <row r="207" spans="1:1" hidden="1" x14ac:dyDescent="0.2"/>
    <row r="208" spans="1:1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x14ac:dyDescent="0.2"/>
    <row r="230" x14ac:dyDescent="0.2"/>
  </sheetData>
  <mergeCells count="479">
    <mergeCell ref="J102:L102"/>
    <mergeCell ref="M102:O102"/>
    <mergeCell ref="P102:R102"/>
    <mergeCell ref="S102:U102"/>
    <mergeCell ref="V102:X102"/>
    <mergeCell ref="J100:L100"/>
    <mergeCell ref="M100:O100"/>
    <mergeCell ref="P100:R100"/>
    <mergeCell ref="S100:U100"/>
    <mergeCell ref="V100:X100"/>
    <mergeCell ref="J101:L101"/>
    <mergeCell ref="M101:O101"/>
    <mergeCell ref="P101:R101"/>
    <mergeCell ref="S101:U101"/>
    <mergeCell ref="V101:X101"/>
    <mergeCell ref="V97:X97"/>
    <mergeCell ref="J98:L98"/>
    <mergeCell ref="M98:O98"/>
    <mergeCell ref="P98:R98"/>
    <mergeCell ref="S98:U98"/>
    <mergeCell ref="V98:X98"/>
    <mergeCell ref="J99:L99"/>
    <mergeCell ref="M99:O99"/>
    <mergeCell ref="P99:R99"/>
    <mergeCell ref="S99:U99"/>
    <mergeCell ref="V99:X99"/>
    <mergeCell ref="J95:L95"/>
    <mergeCell ref="M95:O95"/>
    <mergeCell ref="P95:R95"/>
    <mergeCell ref="S95:U95"/>
    <mergeCell ref="V95:X95"/>
    <mergeCell ref="A93:A102"/>
    <mergeCell ref="J93:L93"/>
    <mergeCell ref="M93:O93"/>
    <mergeCell ref="P93:R93"/>
    <mergeCell ref="S93:U93"/>
    <mergeCell ref="V93:X93"/>
    <mergeCell ref="J94:L94"/>
    <mergeCell ref="M94:O94"/>
    <mergeCell ref="P94:R94"/>
    <mergeCell ref="S94:U94"/>
    <mergeCell ref="J96:L96"/>
    <mergeCell ref="M96:O96"/>
    <mergeCell ref="P96:R96"/>
    <mergeCell ref="S96:U96"/>
    <mergeCell ref="V96:X96"/>
    <mergeCell ref="J97:L97"/>
    <mergeCell ref="M97:O97"/>
    <mergeCell ref="P97:R97"/>
    <mergeCell ref="S97:U97"/>
    <mergeCell ref="S90:U90"/>
    <mergeCell ref="V90:X90"/>
    <mergeCell ref="V91:X91"/>
    <mergeCell ref="J92:L92"/>
    <mergeCell ref="M92:O92"/>
    <mergeCell ref="P92:R92"/>
    <mergeCell ref="S92:U92"/>
    <mergeCell ref="V92:X92"/>
    <mergeCell ref="V94:X94"/>
    <mergeCell ref="J91:L91"/>
    <mergeCell ref="M91:O91"/>
    <mergeCell ref="P91:R91"/>
    <mergeCell ref="S91:U91"/>
    <mergeCell ref="J87:L87"/>
    <mergeCell ref="M87:O87"/>
    <mergeCell ref="P87:R87"/>
    <mergeCell ref="S87:U87"/>
    <mergeCell ref="V87:X87"/>
    <mergeCell ref="V88:X88"/>
    <mergeCell ref="J89:L89"/>
    <mergeCell ref="M89:O89"/>
    <mergeCell ref="P89:R89"/>
    <mergeCell ref="S89:U89"/>
    <mergeCell ref="V89:X89"/>
    <mergeCell ref="S88:U88"/>
    <mergeCell ref="A73:A82"/>
    <mergeCell ref="J73:L73"/>
    <mergeCell ref="V83:X83"/>
    <mergeCell ref="J84:L84"/>
    <mergeCell ref="M84:O84"/>
    <mergeCell ref="P84:R84"/>
    <mergeCell ref="S84:U84"/>
    <mergeCell ref="V84:X84"/>
    <mergeCell ref="J82:L82"/>
    <mergeCell ref="M82:O82"/>
    <mergeCell ref="P82:R82"/>
    <mergeCell ref="S82:U82"/>
    <mergeCell ref="V82:X82"/>
    <mergeCell ref="J76:L76"/>
    <mergeCell ref="M76:O76"/>
    <mergeCell ref="P76:R76"/>
    <mergeCell ref="A83:A92"/>
    <mergeCell ref="J88:L88"/>
    <mergeCell ref="M88:O88"/>
    <mergeCell ref="P88:R88"/>
    <mergeCell ref="J90:L90"/>
    <mergeCell ref="M90:O90"/>
    <mergeCell ref="P90:R90"/>
    <mergeCell ref="V86:X86"/>
    <mergeCell ref="V85:X85"/>
    <mergeCell ref="J86:L86"/>
    <mergeCell ref="M86:O86"/>
    <mergeCell ref="P86:R86"/>
    <mergeCell ref="S86:U86"/>
    <mergeCell ref="S83:U83"/>
    <mergeCell ref="J80:L80"/>
    <mergeCell ref="M80:O80"/>
    <mergeCell ref="P80:R80"/>
    <mergeCell ref="S80:U80"/>
    <mergeCell ref="J85:L85"/>
    <mergeCell ref="M85:O85"/>
    <mergeCell ref="P85:R85"/>
    <mergeCell ref="S85:U85"/>
    <mergeCell ref="J81:L81"/>
    <mergeCell ref="M81:O81"/>
    <mergeCell ref="P81:R81"/>
    <mergeCell ref="J83:L83"/>
    <mergeCell ref="M83:O83"/>
    <mergeCell ref="P83:R83"/>
    <mergeCell ref="S81:U81"/>
    <mergeCell ref="S73:U73"/>
    <mergeCell ref="V73:X73"/>
    <mergeCell ref="J74:L74"/>
    <mergeCell ref="M74:O74"/>
    <mergeCell ref="P74:R74"/>
    <mergeCell ref="S74:U74"/>
    <mergeCell ref="V76:X76"/>
    <mergeCell ref="V81:X81"/>
    <mergeCell ref="J78:L78"/>
    <mergeCell ref="M78:O78"/>
    <mergeCell ref="P78:R78"/>
    <mergeCell ref="S78:U78"/>
    <mergeCell ref="V78:X78"/>
    <mergeCell ref="J79:L79"/>
    <mergeCell ref="M79:O79"/>
    <mergeCell ref="P79:R79"/>
    <mergeCell ref="S79:U79"/>
    <mergeCell ref="V79:X79"/>
    <mergeCell ref="J77:L77"/>
    <mergeCell ref="M77:O77"/>
    <mergeCell ref="P77:R77"/>
    <mergeCell ref="S77:U77"/>
    <mergeCell ref="V77:X77"/>
    <mergeCell ref="V80:X80"/>
    <mergeCell ref="S76:U76"/>
    <mergeCell ref="J70:L70"/>
    <mergeCell ref="M70:O70"/>
    <mergeCell ref="P70:R70"/>
    <mergeCell ref="S70:U70"/>
    <mergeCell ref="V70:X70"/>
    <mergeCell ref="J71:L71"/>
    <mergeCell ref="M71:O71"/>
    <mergeCell ref="P71:R71"/>
    <mergeCell ref="S71:U71"/>
    <mergeCell ref="V71:X71"/>
    <mergeCell ref="J72:L72"/>
    <mergeCell ref="M72:O72"/>
    <mergeCell ref="P72:R72"/>
    <mergeCell ref="S72:U72"/>
    <mergeCell ref="V72:X72"/>
    <mergeCell ref="V74:X74"/>
    <mergeCell ref="J75:L75"/>
    <mergeCell ref="M75:O75"/>
    <mergeCell ref="P75:R75"/>
    <mergeCell ref="S75:U75"/>
    <mergeCell ref="V75:X75"/>
    <mergeCell ref="M73:O73"/>
    <mergeCell ref="P73:R73"/>
    <mergeCell ref="V67:X67"/>
    <mergeCell ref="J68:L68"/>
    <mergeCell ref="M68:O68"/>
    <mergeCell ref="P68:R68"/>
    <mergeCell ref="S68:U68"/>
    <mergeCell ref="V68:X68"/>
    <mergeCell ref="J69:L69"/>
    <mergeCell ref="M69:O69"/>
    <mergeCell ref="P69:R69"/>
    <mergeCell ref="S69:U69"/>
    <mergeCell ref="V69:X69"/>
    <mergeCell ref="A62:A72"/>
    <mergeCell ref="J62:L62"/>
    <mergeCell ref="M62:O62"/>
    <mergeCell ref="P62:R62"/>
    <mergeCell ref="S62:U62"/>
    <mergeCell ref="V62:X62"/>
    <mergeCell ref="J63:L63"/>
    <mergeCell ref="M63:O63"/>
    <mergeCell ref="P63:R63"/>
    <mergeCell ref="S63:U63"/>
    <mergeCell ref="J65:L65"/>
    <mergeCell ref="M65:O65"/>
    <mergeCell ref="P65:R65"/>
    <mergeCell ref="S65:U65"/>
    <mergeCell ref="V65:X65"/>
    <mergeCell ref="J66:L66"/>
    <mergeCell ref="M66:O66"/>
    <mergeCell ref="P66:R66"/>
    <mergeCell ref="S66:U66"/>
    <mergeCell ref="V66:X66"/>
    <mergeCell ref="J67:L67"/>
    <mergeCell ref="M67:O67"/>
    <mergeCell ref="P67:R67"/>
    <mergeCell ref="S67:U67"/>
    <mergeCell ref="V60:X60"/>
    <mergeCell ref="J61:L61"/>
    <mergeCell ref="M61:O61"/>
    <mergeCell ref="P61:R61"/>
    <mergeCell ref="S61:U61"/>
    <mergeCell ref="V61:X61"/>
    <mergeCell ref="V63:X63"/>
    <mergeCell ref="J64:L64"/>
    <mergeCell ref="M64:O64"/>
    <mergeCell ref="P64:R64"/>
    <mergeCell ref="S64:U64"/>
    <mergeCell ref="V64:X64"/>
    <mergeCell ref="V57:X57"/>
    <mergeCell ref="J58:L58"/>
    <mergeCell ref="M58:O58"/>
    <mergeCell ref="P58:R58"/>
    <mergeCell ref="S58:U58"/>
    <mergeCell ref="V58:X58"/>
    <mergeCell ref="J59:L59"/>
    <mergeCell ref="M59:O59"/>
    <mergeCell ref="P59:R59"/>
    <mergeCell ref="S59:U59"/>
    <mergeCell ref="V59:X59"/>
    <mergeCell ref="V54:X54"/>
    <mergeCell ref="J55:L55"/>
    <mergeCell ref="M55:O55"/>
    <mergeCell ref="P55:R55"/>
    <mergeCell ref="S55:U55"/>
    <mergeCell ref="V55:X55"/>
    <mergeCell ref="J56:L56"/>
    <mergeCell ref="M56:O56"/>
    <mergeCell ref="P56:R56"/>
    <mergeCell ref="S56:U56"/>
    <mergeCell ref="V56:X56"/>
    <mergeCell ref="V52:X52"/>
    <mergeCell ref="J53:L53"/>
    <mergeCell ref="M53:O53"/>
    <mergeCell ref="P53:R53"/>
    <mergeCell ref="S53:U53"/>
    <mergeCell ref="V53:X53"/>
    <mergeCell ref="J51:L51"/>
    <mergeCell ref="M51:O51"/>
    <mergeCell ref="P51:R51"/>
    <mergeCell ref="S51:U51"/>
    <mergeCell ref="V51:X51"/>
    <mergeCell ref="A52:A61"/>
    <mergeCell ref="J52:L52"/>
    <mergeCell ref="M52:O52"/>
    <mergeCell ref="P52:R52"/>
    <mergeCell ref="S52:U52"/>
    <mergeCell ref="J49:L49"/>
    <mergeCell ref="M49:O49"/>
    <mergeCell ref="P49:R49"/>
    <mergeCell ref="S49:U49"/>
    <mergeCell ref="J54:L54"/>
    <mergeCell ref="M54:O54"/>
    <mergeCell ref="P54:R54"/>
    <mergeCell ref="S54:U54"/>
    <mergeCell ref="J57:L57"/>
    <mergeCell ref="M57:O57"/>
    <mergeCell ref="P57:R57"/>
    <mergeCell ref="S57:U57"/>
    <mergeCell ref="J60:L60"/>
    <mergeCell ref="M60:O60"/>
    <mergeCell ref="P60:R60"/>
    <mergeCell ref="S60:U60"/>
    <mergeCell ref="S50:U50"/>
    <mergeCell ref="A42:A51"/>
    <mergeCell ref="J42:L42"/>
    <mergeCell ref="V49:X49"/>
    <mergeCell ref="J50:L50"/>
    <mergeCell ref="M50:O50"/>
    <mergeCell ref="P50:R50"/>
    <mergeCell ref="V50:X50"/>
    <mergeCell ref="J47:L47"/>
    <mergeCell ref="M47:O47"/>
    <mergeCell ref="P47:R47"/>
    <mergeCell ref="S47:U47"/>
    <mergeCell ref="V47:X47"/>
    <mergeCell ref="J48:L48"/>
    <mergeCell ref="M48:O48"/>
    <mergeCell ref="P48:R48"/>
    <mergeCell ref="S48:U48"/>
    <mergeCell ref="V48:X48"/>
    <mergeCell ref="S45:U45"/>
    <mergeCell ref="V45:X45"/>
    <mergeCell ref="J45:L45"/>
    <mergeCell ref="M45:O45"/>
    <mergeCell ref="P45:R45"/>
    <mergeCell ref="J46:L46"/>
    <mergeCell ref="M46:O46"/>
    <mergeCell ref="P46:R46"/>
    <mergeCell ref="S46:U46"/>
    <mergeCell ref="V46:X46"/>
    <mergeCell ref="V37:X37"/>
    <mergeCell ref="J38:L38"/>
    <mergeCell ref="M38:O38"/>
    <mergeCell ref="P38:R38"/>
    <mergeCell ref="S38:U38"/>
    <mergeCell ref="V38:X38"/>
    <mergeCell ref="J39:L39"/>
    <mergeCell ref="M39:O39"/>
    <mergeCell ref="P39:R39"/>
    <mergeCell ref="S39:U39"/>
    <mergeCell ref="V39:X39"/>
    <mergeCell ref="V40:X40"/>
    <mergeCell ref="J41:L41"/>
    <mergeCell ref="M41:O41"/>
    <mergeCell ref="P41:R41"/>
    <mergeCell ref="S41:U41"/>
    <mergeCell ref="V41:X41"/>
    <mergeCell ref="V43:X43"/>
    <mergeCell ref="J44:L44"/>
    <mergeCell ref="M44:O44"/>
    <mergeCell ref="P44:R44"/>
    <mergeCell ref="S44:U44"/>
    <mergeCell ref="V44:X44"/>
    <mergeCell ref="M42:O42"/>
    <mergeCell ref="P42:R42"/>
    <mergeCell ref="S42:U42"/>
    <mergeCell ref="V42:X42"/>
    <mergeCell ref="J43:L43"/>
    <mergeCell ref="M43:O43"/>
    <mergeCell ref="P43:R43"/>
    <mergeCell ref="S43:U43"/>
    <mergeCell ref="V34:X34"/>
    <mergeCell ref="J35:L35"/>
    <mergeCell ref="M35:O35"/>
    <mergeCell ref="P35:R35"/>
    <mergeCell ref="S35:U35"/>
    <mergeCell ref="V35:X35"/>
    <mergeCell ref="J36:L36"/>
    <mergeCell ref="M36:O36"/>
    <mergeCell ref="P36:R36"/>
    <mergeCell ref="S36:U36"/>
    <mergeCell ref="V36:X36"/>
    <mergeCell ref="V32:X32"/>
    <mergeCell ref="J33:L33"/>
    <mergeCell ref="M33:O33"/>
    <mergeCell ref="P33:R33"/>
    <mergeCell ref="S33:U33"/>
    <mergeCell ref="V33:X33"/>
    <mergeCell ref="J31:L31"/>
    <mergeCell ref="M31:O31"/>
    <mergeCell ref="P31:R31"/>
    <mergeCell ref="S31:U31"/>
    <mergeCell ref="V31:X31"/>
    <mergeCell ref="A32:A41"/>
    <mergeCell ref="J32:L32"/>
    <mergeCell ref="M32:O32"/>
    <mergeCell ref="P32:R32"/>
    <mergeCell ref="S32:U32"/>
    <mergeCell ref="J29:L29"/>
    <mergeCell ref="M29:O29"/>
    <mergeCell ref="P29:R29"/>
    <mergeCell ref="S29:U29"/>
    <mergeCell ref="J34:L34"/>
    <mergeCell ref="M34:O34"/>
    <mergeCell ref="P34:R34"/>
    <mergeCell ref="S34:U34"/>
    <mergeCell ref="J37:L37"/>
    <mergeCell ref="M37:O37"/>
    <mergeCell ref="P37:R37"/>
    <mergeCell ref="S37:U37"/>
    <mergeCell ref="J40:L40"/>
    <mergeCell ref="M40:O40"/>
    <mergeCell ref="P40:R40"/>
    <mergeCell ref="S40:U40"/>
    <mergeCell ref="V29:X29"/>
    <mergeCell ref="J30:L30"/>
    <mergeCell ref="M30:O30"/>
    <mergeCell ref="P30:R30"/>
    <mergeCell ref="S30:U30"/>
    <mergeCell ref="V30:X30"/>
    <mergeCell ref="J27:L27"/>
    <mergeCell ref="M27:O27"/>
    <mergeCell ref="P27:R27"/>
    <mergeCell ref="S27:U27"/>
    <mergeCell ref="V27:X27"/>
    <mergeCell ref="J28:L28"/>
    <mergeCell ref="M28:O28"/>
    <mergeCell ref="P28:R28"/>
    <mergeCell ref="S28:U28"/>
    <mergeCell ref="V28:X28"/>
    <mergeCell ref="J25:L25"/>
    <mergeCell ref="M25:O25"/>
    <mergeCell ref="P25:R25"/>
    <mergeCell ref="S25:U25"/>
    <mergeCell ref="V25:X25"/>
    <mergeCell ref="J26:L26"/>
    <mergeCell ref="M26:O26"/>
    <mergeCell ref="P26:R26"/>
    <mergeCell ref="S26:U26"/>
    <mergeCell ref="V26:X26"/>
    <mergeCell ref="S23:U23"/>
    <mergeCell ref="V23:X23"/>
    <mergeCell ref="J24:L24"/>
    <mergeCell ref="M24:O24"/>
    <mergeCell ref="P24:R24"/>
    <mergeCell ref="S24:U24"/>
    <mergeCell ref="V24:X24"/>
    <mergeCell ref="V21:X21"/>
    <mergeCell ref="A22:A31"/>
    <mergeCell ref="J22:L22"/>
    <mergeCell ref="M22:O22"/>
    <mergeCell ref="P22:R22"/>
    <mergeCell ref="S22:U22"/>
    <mergeCell ref="V22:X22"/>
    <mergeCell ref="J23:L23"/>
    <mergeCell ref="M23:O23"/>
    <mergeCell ref="P23:R23"/>
    <mergeCell ref="F20:F21"/>
    <mergeCell ref="G20:G21"/>
    <mergeCell ref="H20:I20"/>
    <mergeCell ref="J20:K20"/>
    <mergeCell ref="L20:M20"/>
    <mergeCell ref="N20:X20"/>
    <mergeCell ref="J21:L21"/>
    <mergeCell ref="M21:O21"/>
    <mergeCell ref="P21:R21"/>
    <mergeCell ref="S21:U21"/>
    <mergeCell ref="B18:G19"/>
    <mergeCell ref="H18:L19"/>
    <mergeCell ref="M18:P19"/>
    <mergeCell ref="Q18:T19"/>
    <mergeCell ref="U18:X19"/>
    <mergeCell ref="A20:A21"/>
    <mergeCell ref="B20:B21"/>
    <mergeCell ref="C20:C21"/>
    <mergeCell ref="D20:D21"/>
    <mergeCell ref="E20:E21"/>
    <mergeCell ref="B14:G15"/>
    <mergeCell ref="H14:L15"/>
    <mergeCell ref="M14:P15"/>
    <mergeCell ref="Q14:T15"/>
    <mergeCell ref="U14:X15"/>
    <mergeCell ref="B16:G17"/>
    <mergeCell ref="H16:L17"/>
    <mergeCell ref="M16:P17"/>
    <mergeCell ref="Q16:T17"/>
    <mergeCell ref="U16:X17"/>
    <mergeCell ref="B12:G13"/>
    <mergeCell ref="H12:L13"/>
    <mergeCell ref="M12:P13"/>
    <mergeCell ref="Q12:T13"/>
    <mergeCell ref="U12:X13"/>
    <mergeCell ref="B8:G9"/>
    <mergeCell ref="H8:L9"/>
    <mergeCell ref="M8:P9"/>
    <mergeCell ref="Q8:T9"/>
    <mergeCell ref="U8:X9"/>
    <mergeCell ref="B10:G11"/>
    <mergeCell ref="H10:L11"/>
    <mergeCell ref="M10:P11"/>
    <mergeCell ref="Q10:T11"/>
    <mergeCell ref="U10:X11"/>
    <mergeCell ref="B4:G5"/>
    <mergeCell ref="H4:L5"/>
    <mergeCell ref="M4:P5"/>
    <mergeCell ref="Q4:T5"/>
    <mergeCell ref="U4:X5"/>
    <mergeCell ref="B6:G7"/>
    <mergeCell ref="H6:L7"/>
    <mergeCell ref="M6:P7"/>
    <mergeCell ref="Q6:T7"/>
    <mergeCell ref="U6:X7"/>
    <mergeCell ref="B1:G1"/>
    <mergeCell ref="H1:L1"/>
    <mergeCell ref="M1:P1"/>
    <mergeCell ref="Q1:T1"/>
    <mergeCell ref="U1:X1"/>
    <mergeCell ref="B2:G3"/>
    <mergeCell ref="H2:L3"/>
    <mergeCell ref="M2:P3"/>
    <mergeCell ref="Q2:T3"/>
    <mergeCell ref="U2:X3"/>
  </mergeCells>
  <conditionalFormatting sqref="A6 A9 A12">
    <cfRule type="cellIs" dxfId="39" priority="3" operator="greaterThanOrEqual">
      <formula>0.5</formula>
    </cfRule>
    <cfRule type="cellIs" dxfId="38" priority="4" operator="between">
      <formula>0.3</formula>
      <formula>0.49</formula>
    </cfRule>
    <cfRule type="cellIs" dxfId="37" priority="5" operator="lessThan">
      <formula>0.3</formula>
    </cfRule>
  </conditionalFormatting>
  <conditionalFormatting sqref="E22:E131">
    <cfRule type="cellIs" dxfId="36" priority="1" operator="equal">
      <formula>"N"</formula>
    </cfRule>
    <cfRule type="cellIs" dxfId="35" priority="2" operator="equal">
      <formula>"Y"</formula>
    </cfRule>
  </conditionalFormatting>
  <conditionalFormatting sqref="H22:H131">
    <cfRule type="cellIs" dxfId="34" priority="6" operator="equal">
      <formula>2</formula>
    </cfRule>
    <cfRule type="cellIs" dxfId="33" priority="7" operator="equal">
      <formula>1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CDE3-4AD9-B04E-9B79-66065F1A2326}">
  <dimension ref="A1:AK125"/>
  <sheetViews>
    <sheetView workbookViewId="0">
      <pane ySplit="9" topLeftCell="A10" activePane="bottomLeft" state="frozen"/>
      <selection activeCell="N58" sqref="N58"/>
      <selection pane="bottomLeft" activeCell="G15" sqref="G15:H15"/>
    </sheetView>
  </sheetViews>
  <sheetFormatPr defaultColWidth="0" defaultRowHeight="15" x14ac:dyDescent="0.2"/>
  <cols>
    <col min="1" max="2" width="8.7421875" style="466" customWidth="1"/>
    <col min="3" max="3" width="8.7421875" style="470" customWidth="1"/>
    <col min="4" max="4" width="8.7421875" style="466" customWidth="1"/>
    <col min="5" max="5" width="9.14453125" style="474" customWidth="1"/>
    <col min="6" max="7" width="9.14453125" style="400" customWidth="1"/>
    <col min="8" max="8" width="9.14453125" style="466" customWidth="1"/>
    <col min="9" max="9" width="9.14453125" style="474" customWidth="1"/>
    <col min="10" max="11" width="9.14453125" style="400" customWidth="1"/>
    <col min="12" max="12" width="9.14453125" style="466" customWidth="1"/>
    <col min="13" max="13" width="10.35546875" style="475" customWidth="1"/>
    <col min="14" max="14" width="10.35546875" style="470" customWidth="1"/>
    <col min="15" max="16" width="9.14453125" style="466" customWidth="1"/>
    <col min="17" max="17" width="0" hidden="1" customWidth="1"/>
  </cols>
  <sheetData>
    <row r="1" spans="1:37" ht="15" customHeight="1" x14ac:dyDescent="0.2">
      <c r="A1" s="692" t="str">
        <f>HYPERLINK("#'Table of Contents'!A1", "🏠 Return")</f>
        <v>🏠 Return</v>
      </c>
      <c r="B1" s="693"/>
      <c r="C1" s="469"/>
      <c r="D1" s="399"/>
      <c r="E1" s="460"/>
      <c r="F1" s="399"/>
      <c r="G1" s="399"/>
      <c r="H1" s="399"/>
      <c r="I1" s="460"/>
      <c r="J1" s="399"/>
      <c r="K1" s="399"/>
      <c r="L1" s="399"/>
      <c r="M1" s="460"/>
      <c r="N1" s="399"/>
      <c r="O1" s="444"/>
      <c r="P1" s="444"/>
      <c r="Q1" s="398"/>
      <c r="R1" s="398"/>
      <c r="S1" s="398"/>
      <c r="T1" s="398"/>
      <c r="U1" s="398"/>
      <c r="V1" s="398"/>
    </row>
    <row r="2" spans="1:37" ht="15" customHeight="1" x14ac:dyDescent="0.2">
      <c r="A2" s="398"/>
      <c r="B2" s="328"/>
      <c r="C2" s="328"/>
      <c r="D2" s="523" t="s">
        <v>307</v>
      </c>
      <c r="E2" s="523"/>
      <c r="F2" s="523"/>
      <c r="G2" s="523"/>
      <c r="H2" s="523"/>
      <c r="I2" s="523"/>
      <c r="J2" s="523"/>
      <c r="K2" s="523"/>
      <c r="L2" s="523"/>
      <c r="M2" s="523"/>
      <c r="N2" s="468"/>
      <c r="O2" s="694" t="s">
        <v>1</v>
      </c>
      <c r="P2" s="694"/>
      <c r="Q2" s="398"/>
      <c r="R2" s="398"/>
      <c r="S2" s="398"/>
      <c r="T2" s="398"/>
      <c r="U2" s="398"/>
      <c r="V2" s="398"/>
    </row>
    <row r="3" spans="1:37" ht="15" customHeight="1" x14ac:dyDescent="0.2">
      <c r="A3" s="398"/>
      <c r="B3" s="399"/>
      <c r="C3" s="399"/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468"/>
      <c r="O3" s="694"/>
      <c r="P3" s="694"/>
      <c r="Q3" s="398"/>
      <c r="R3" s="398"/>
      <c r="S3" s="398"/>
      <c r="T3" s="398"/>
      <c r="U3" s="398"/>
      <c r="V3" s="398"/>
    </row>
    <row r="4" spans="1:37" ht="15" customHeight="1" x14ac:dyDescent="0.2">
      <c r="A4" s="398"/>
      <c r="B4" s="399"/>
      <c r="C4" s="399"/>
      <c r="D4" s="523"/>
      <c r="E4" s="523"/>
      <c r="F4" s="523"/>
      <c r="G4" s="523"/>
      <c r="H4" s="523"/>
      <c r="I4" s="523"/>
      <c r="J4" s="523"/>
      <c r="K4" s="523"/>
      <c r="L4" s="523"/>
      <c r="M4" s="523"/>
      <c r="N4" s="468"/>
      <c r="O4" s="694"/>
      <c r="P4" s="694"/>
      <c r="Q4" s="398"/>
      <c r="R4" s="398"/>
      <c r="S4" s="398"/>
      <c r="T4" s="398"/>
      <c r="U4" s="398"/>
      <c r="V4" s="398"/>
    </row>
    <row r="5" spans="1:37" ht="15" customHeight="1" x14ac:dyDescent="0.2">
      <c r="A5" s="398"/>
      <c r="B5" s="399"/>
      <c r="C5" s="399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468"/>
      <c r="O5" s="694"/>
      <c r="P5" s="694"/>
      <c r="Q5" s="398"/>
      <c r="R5" s="398"/>
      <c r="S5" s="398"/>
      <c r="T5" s="398"/>
      <c r="U5" s="398"/>
      <c r="V5" s="398"/>
    </row>
    <row r="6" spans="1:37" ht="15" customHeight="1" x14ac:dyDescent="0.2">
      <c r="A6" s="398"/>
      <c r="B6" s="399"/>
      <c r="C6" s="399"/>
      <c r="D6" s="523"/>
      <c r="E6" s="523"/>
      <c r="F6" s="523"/>
      <c r="G6" s="523"/>
      <c r="H6" s="523"/>
      <c r="I6" s="523"/>
      <c r="J6" s="523"/>
      <c r="K6" s="523"/>
      <c r="L6" s="523"/>
      <c r="M6" s="523"/>
      <c r="N6" s="468"/>
      <c r="O6" s="694"/>
      <c r="P6" s="694"/>
      <c r="Q6" s="398"/>
      <c r="R6" s="398"/>
      <c r="S6" s="398"/>
      <c r="T6" s="398"/>
      <c r="U6" s="398"/>
      <c r="V6" s="398"/>
    </row>
    <row r="7" spans="1:37" ht="15" customHeight="1" x14ac:dyDescent="0.2">
      <c r="A7" s="399"/>
      <c r="B7" s="399"/>
      <c r="C7" s="399"/>
      <c r="D7" s="523"/>
      <c r="E7" s="523"/>
      <c r="F7" s="523"/>
      <c r="G7" s="523"/>
      <c r="H7" s="523"/>
      <c r="I7" s="523"/>
      <c r="J7" s="523"/>
      <c r="K7" s="523"/>
      <c r="L7" s="523"/>
      <c r="M7" s="523"/>
      <c r="N7" s="468"/>
      <c r="O7" s="694"/>
      <c r="P7" s="694"/>
      <c r="Q7" s="398"/>
      <c r="R7" s="398"/>
      <c r="S7" s="398"/>
      <c r="T7" s="398"/>
      <c r="U7" s="398"/>
      <c r="V7" s="398"/>
    </row>
    <row r="8" spans="1:37" ht="15" customHeight="1" x14ac:dyDescent="0.2">
      <c r="A8" s="695" t="s">
        <v>308</v>
      </c>
      <c r="B8" s="695"/>
      <c r="C8" s="695"/>
      <c r="D8" s="695"/>
      <c r="E8" s="696" t="s">
        <v>309</v>
      </c>
      <c r="F8" s="697"/>
      <c r="G8" s="697"/>
      <c r="H8" s="698"/>
      <c r="I8" s="699" t="s">
        <v>310</v>
      </c>
      <c r="J8" s="699"/>
      <c r="K8" s="699"/>
      <c r="L8" s="700"/>
      <c r="M8" s="701" t="s">
        <v>311</v>
      </c>
      <c r="N8" s="701"/>
      <c r="O8" s="701"/>
      <c r="P8" s="701"/>
      <c r="Q8" s="398"/>
      <c r="R8" s="398"/>
      <c r="S8" s="398"/>
      <c r="T8" s="398"/>
      <c r="U8" s="398"/>
      <c r="V8" s="398"/>
    </row>
    <row r="9" spans="1:37" s="1" customFormat="1" ht="15" customHeight="1" x14ac:dyDescent="0.2">
      <c r="A9" s="702" t="s">
        <v>312</v>
      </c>
      <c r="B9" s="702"/>
      <c r="C9" s="702" t="s">
        <v>313</v>
      </c>
      <c r="D9" s="703"/>
      <c r="E9" s="704" t="s">
        <v>312</v>
      </c>
      <c r="F9" s="702"/>
      <c r="G9" s="702" t="s">
        <v>313</v>
      </c>
      <c r="H9" s="706"/>
      <c r="I9" s="705" t="s">
        <v>312</v>
      </c>
      <c r="J9" s="702"/>
      <c r="K9" s="702" t="s">
        <v>313</v>
      </c>
      <c r="L9" s="706"/>
      <c r="M9" s="688" t="s">
        <v>312</v>
      </c>
      <c r="N9" s="687"/>
      <c r="O9" s="702" t="s">
        <v>313</v>
      </c>
      <c r="P9" s="702"/>
      <c r="Q9" s="471"/>
      <c r="R9" s="471"/>
      <c r="S9" s="471"/>
      <c r="T9" s="471"/>
      <c r="U9" s="471"/>
      <c r="V9" s="471"/>
      <c r="Y9" s="472"/>
    </row>
    <row r="10" spans="1:37" ht="15" customHeight="1" x14ac:dyDescent="0.2">
      <c r="A10" s="687"/>
      <c r="B10" s="687"/>
      <c r="C10" s="689"/>
      <c r="D10" s="691"/>
      <c r="E10" s="686"/>
      <c r="F10" s="687"/>
      <c r="G10" s="689"/>
      <c r="H10" s="690"/>
      <c r="I10" s="688"/>
      <c r="J10" s="687"/>
      <c r="K10" s="689"/>
      <c r="L10" s="690"/>
      <c r="M10" s="688"/>
      <c r="N10" s="687"/>
      <c r="O10" s="689"/>
      <c r="P10" s="689"/>
      <c r="Q10" s="398"/>
      <c r="R10" s="398"/>
      <c r="S10" s="398"/>
      <c r="T10" s="398"/>
      <c r="U10" s="398"/>
      <c r="V10" s="398"/>
    </row>
    <row r="11" spans="1:37" ht="15" customHeight="1" x14ac:dyDescent="0.2">
      <c r="A11" s="687"/>
      <c r="B11" s="687"/>
      <c r="C11" s="689"/>
      <c r="D11" s="691"/>
      <c r="E11" s="686"/>
      <c r="F11" s="687"/>
      <c r="G11" s="689"/>
      <c r="H11" s="690"/>
      <c r="I11" s="688"/>
      <c r="J11" s="687"/>
      <c r="K11" s="689"/>
      <c r="L11" s="690"/>
      <c r="M11" s="688"/>
      <c r="N11" s="687"/>
      <c r="O11" s="689"/>
      <c r="P11" s="689"/>
      <c r="Q11" s="398"/>
      <c r="R11" s="398"/>
      <c r="S11" s="398"/>
      <c r="T11" s="398"/>
      <c r="U11" s="398"/>
      <c r="V11" s="398"/>
      <c r="AK11" s="393"/>
    </row>
    <row r="12" spans="1:37" ht="15" customHeight="1" x14ac:dyDescent="0.2">
      <c r="A12" s="687"/>
      <c r="B12" s="687"/>
      <c r="C12" s="689"/>
      <c r="D12" s="691"/>
      <c r="E12" s="686"/>
      <c r="F12" s="687"/>
      <c r="G12" s="689"/>
      <c r="H12" s="690"/>
      <c r="I12" s="688"/>
      <c r="J12" s="687"/>
      <c r="K12" s="689"/>
      <c r="L12" s="690"/>
      <c r="M12" s="688"/>
      <c r="N12" s="687"/>
      <c r="O12" s="689"/>
      <c r="P12" s="689"/>
      <c r="Q12" s="465"/>
      <c r="R12" s="465"/>
      <c r="S12" s="465"/>
      <c r="T12" s="398"/>
      <c r="U12" s="398"/>
      <c r="V12" s="398"/>
      <c r="AK12" s="393"/>
    </row>
    <row r="13" spans="1:37" x14ac:dyDescent="0.2">
      <c r="A13" s="687"/>
      <c r="B13" s="687"/>
      <c r="C13" s="689"/>
      <c r="D13" s="691"/>
      <c r="E13" s="686"/>
      <c r="F13" s="687"/>
      <c r="G13" s="689"/>
      <c r="H13" s="690"/>
      <c r="I13" s="688"/>
      <c r="J13" s="687"/>
      <c r="K13" s="689"/>
      <c r="L13" s="690"/>
      <c r="M13" s="688"/>
      <c r="N13" s="687"/>
      <c r="O13" s="689"/>
      <c r="P13" s="689"/>
      <c r="Q13" s="465"/>
      <c r="R13" s="465"/>
      <c r="S13" s="465"/>
      <c r="T13" s="466"/>
      <c r="U13" s="466"/>
      <c r="V13" s="466"/>
      <c r="W13" s="466"/>
      <c r="X13" s="466"/>
      <c r="Y13" s="466"/>
      <c r="AK13" s="393"/>
    </row>
    <row r="14" spans="1:37" x14ac:dyDescent="0.2">
      <c r="A14" s="687"/>
      <c r="B14" s="687"/>
      <c r="C14" s="689"/>
      <c r="D14" s="691"/>
      <c r="E14" s="686"/>
      <c r="F14" s="687"/>
      <c r="G14" s="689"/>
      <c r="H14" s="690"/>
      <c r="I14" s="688"/>
      <c r="J14" s="687"/>
      <c r="K14" s="689"/>
      <c r="L14" s="690"/>
      <c r="M14" s="688"/>
      <c r="N14" s="687"/>
      <c r="O14" s="689"/>
      <c r="P14" s="689"/>
      <c r="Q14" s="465"/>
      <c r="R14" s="465"/>
      <c r="S14" s="465"/>
    </row>
    <row r="15" spans="1:37" x14ac:dyDescent="0.2">
      <c r="A15" s="687"/>
      <c r="B15" s="687"/>
      <c r="C15" s="689"/>
      <c r="D15" s="691"/>
      <c r="E15" s="686"/>
      <c r="F15" s="687"/>
      <c r="G15" s="689"/>
      <c r="H15" s="690"/>
      <c r="I15" s="688"/>
      <c r="J15" s="687"/>
      <c r="K15" s="689"/>
      <c r="L15" s="690"/>
      <c r="M15" s="688"/>
      <c r="N15" s="687"/>
      <c r="O15" s="689"/>
      <c r="P15" s="689"/>
      <c r="Q15" s="465"/>
      <c r="R15" s="465"/>
      <c r="S15" s="465"/>
    </row>
    <row r="16" spans="1:37" x14ac:dyDescent="0.2">
      <c r="A16" s="687"/>
      <c r="B16" s="687"/>
      <c r="C16" s="689"/>
      <c r="D16" s="691"/>
      <c r="E16" s="686"/>
      <c r="F16" s="687"/>
      <c r="G16" s="689"/>
      <c r="H16" s="690"/>
      <c r="I16" s="688"/>
      <c r="J16" s="687"/>
      <c r="K16" s="689"/>
      <c r="L16" s="690"/>
      <c r="M16" s="688"/>
      <c r="N16" s="687"/>
      <c r="O16" s="689"/>
      <c r="P16" s="689"/>
      <c r="Q16" s="465"/>
      <c r="R16" s="465"/>
      <c r="S16" s="465"/>
    </row>
    <row r="17" spans="1:19" x14ac:dyDescent="0.2">
      <c r="A17" s="687"/>
      <c r="B17" s="687"/>
      <c r="C17" s="689"/>
      <c r="D17" s="691"/>
      <c r="E17" s="686"/>
      <c r="F17" s="687"/>
      <c r="G17" s="689"/>
      <c r="H17" s="690"/>
      <c r="I17" s="688"/>
      <c r="J17" s="687"/>
      <c r="K17" s="689"/>
      <c r="L17" s="690"/>
      <c r="M17" s="688"/>
      <c r="N17" s="687"/>
      <c r="O17" s="689"/>
      <c r="P17" s="689"/>
      <c r="Q17" s="465"/>
      <c r="R17" s="465"/>
      <c r="S17" s="465"/>
    </row>
    <row r="18" spans="1:19" x14ac:dyDescent="0.2">
      <c r="A18" s="687"/>
      <c r="B18" s="687"/>
      <c r="C18" s="689"/>
      <c r="D18" s="691"/>
      <c r="E18" s="686"/>
      <c r="F18" s="687"/>
      <c r="G18" s="689"/>
      <c r="H18" s="690"/>
      <c r="I18" s="688"/>
      <c r="J18" s="687"/>
      <c r="K18" s="689"/>
      <c r="L18" s="690"/>
      <c r="M18" s="688"/>
      <c r="N18" s="687"/>
      <c r="O18" s="689"/>
      <c r="P18" s="689"/>
      <c r="Q18" s="465"/>
      <c r="R18" s="465"/>
      <c r="S18" s="465"/>
    </row>
    <row r="19" spans="1:19" x14ac:dyDescent="0.2">
      <c r="A19" s="687"/>
      <c r="B19" s="687"/>
      <c r="C19" s="689"/>
      <c r="D19" s="691"/>
      <c r="E19" s="686"/>
      <c r="F19" s="687"/>
      <c r="G19" s="689"/>
      <c r="H19" s="690"/>
      <c r="I19" s="688"/>
      <c r="J19" s="687"/>
      <c r="K19" s="689"/>
      <c r="L19" s="690"/>
      <c r="M19" s="688"/>
      <c r="N19" s="687"/>
      <c r="O19" s="689"/>
      <c r="P19" s="689"/>
      <c r="Q19" s="465"/>
      <c r="R19" s="465"/>
      <c r="S19" s="465"/>
    </row>
    <row r="20" spans="1:19" x14ac:dyDescent="0.2">
      <c r="A20" s="687"/>
      <c r="B20" s="687"/>
      <c r="C20" s="689"/>
      <c r="D20" s="691"/>
      <c r="E20" s="686"/>
      <c r="F20" s="687"/>
      <c r="G20" s="689"/>
      <c r="H20" s="690"/>
      <c r="I20" s="688"/>
      <c r="J20" s="687"/>
      <c r="K20" s="689"/>
      <c r="L20" s="690"/>
      <c r="M20" s="688"/>
      <c r="N20" s="687"/>
      <c r="O20" s="689"/>
      <c r="P20" s="689"/>
      <c r="Q20" s="465"/>
      <c r="R20" s="465"/>
      <c r="S20" s="465"/>
    </row>
    <row r="21" spans="1:19" x14ac:dyDescent="0.2">
      <c r="A21" s="687"/>
      <c r="B21" s="687"/>
      <c r="C21" s="689"/>
      <c r="D21" s="691"/>
      <c r="E21" s="686"/>
      <c r="F21" s="687"/>
      <c r="G21" s="689"/>
      <c r="H21" s="690"/>
      <c r="I21" s="688"/>
      <c r="J21" s="687"/>
      <c r="K21" s="689"/>
      <c r="L21" s="690"/>
      <c r="M21" s="688"/>
      <c r="N21" s="687"/>
      <c r="O21" s="689"/>
      <c r="P21" s="689"/>
      <c r="Q21" s="465"/>
      <c r="R21" s="465"/>
      <c r="S21" s="465"/>
    </row>
    <row r="22" spans="1:19" x14ac:dyDescent="0.2">
      <c r="A22" s="687"/>
      <c r="B22" s="687"/>
      <c r="C22" s="689"/>
      <c r="D22" s="691"/>
      <c r="E22" s="686"/>
      <c r="F22" s="687"/>
      <c r="G22" s="689"/>
      <c r="H22" s="690"/>
      <c r="I22" s="688"/>
      <c r="J22" s="687"/>
      <c r="K22" s="689"/>
      <c r="L22" s="690"/>
      <c r="M22" s="688"/>
      <c r="N22" s="687"/>
      <c r="O22" s="689"/>
      <c r="P22" s="689"/>
      <c r="Q22" s="465"/>
      <c r="R22" s="465"/>
      <c r="S22" s="465"/>
    </row>
    <row r="23" spans="1:19" x14ac:dyDescent="0.2">
      <c r="A23" s="687"/>
      <c r="B23" s="687"/>
      <c r="C23" s="689"/>
      <c r="D23" s="691"/>
      <c r="E23" s="686"/>
      <c r="F23" s="687"/>
      <c r="G23" s="689"/>
      <c r="H23" s="690"/>
      <c r="I23" s="688"/>
      <c r="J23" s="687"/>
      <c r="K23" s="689"/>
      <c r="L23" s="690"/>
      <c r="M23" s="688"/>
      <c r="N23" s="687"/>
      <c r="O23" s="689"/>
      <c r="P23" s="689"/>
      <c r="Q23" s="465"/>
      <c r="R23" s="465"/>
      <c r="S23" s="465"/>
    </row>
    <row r="24" spans="1:19" x14ac:dyDescent="0.2">
      <c r="A24" s="687"/>
      <c r="B24" s="687"/>
      <c r="C24" s="689"/>
      <c r="D24" s="691"/>
      <c r="E24" s="686"/>
      <c r="F24" s="687"/>
      <c r="G24" s="689"/>
      <c r="H24" s="690"/>
      <c r="I24" s="688"/>
      <c r="J24" s="687"/>
      <c r="K24" s="689"/>
      <c r="L24" s="690"/>
      <c r="M24" s="688"/>
      <c r="N24" s="687"/>
      <c r="O24" s="689"/>
      <c r="P24" s="689"/>
      <c r="Q24" s="465"/>
      <c r="R24" s="465"/>
      <c r="S24" s="465"/>
    </row>
    <row r="25" spans="1:19" x14ac:dyDescent="0.2">
      <c r="A25" s="687"/>
      <c r="B25" s="687"/>
      <c r="C25" s="689"/>
      <c r="D25" s="691"/>
      <c r="E25" s="686"/>
      <c r="F25" s="687"/>
      <c r="G25" s="689"/>
      <c r="H25" s="690"/>
      <c r="I25" s="688"/>
      <c r="J25" s="687"/>
      <c r="K25" s="689"/>
      <c r="L25" s="690"/>
      <c r="M25" s="688"/>
      <c r="N25" s="687"/>
      <c r="O25" s="689"/>
      <c r="P25" s="689"/>
      <c r="Q25" s="465"/>
      <c r="R25" s="465"/>
      <c r="S25" s="465"/>
    </row>
    <row r="26" spans="1:19" x14ac:dyDescent="0.2">
      <c r="A26" s="687"/>
      <c r="B26" s="687"/>
      <c r="C26" s="689"/>
      <c r="D26" s="691"/>
      <c r="E26" s="686"/>
      <c r="F26" s="687"/>
      <c r="G26" s="689"/>
      <c r="H26" s="690"/>
      <c r="I26" s="688"/>
      <c r="J26" s="687"/>
      <c r="K26" s="689"/>
      <c r="L26" s="690"/>
      <c r="M26" s="688"/>
      <c r="N26" s="687"/>
      <c r="O26" s="689"/>
      <c r="P26" s="689"/>
      <c r="Q26" s="465"/>
      <c r="R26" s="465"/>
      <c r="S26" s="465"/>
    </row>
    <row r="27" spans="1:19" x14ac:dyDescent="0.2">
      <c r="A27" s="687"/>
      <c r="B27" s="687"/>
      <c r="C27" s="689"/>
      <c r="D27" s="691"/>
      <c r="E27" s="686"/>
      <c r="F27" s="687"/>
      <c r="G27" s="689"/>
      <c r="H27" s="690"/>
      <c r="I27" s="688"/>
      <c r="J27" s="687"/>
      <c r="K27" s="689"/>
      <c r="L27" s="690"/>
      <c r="M27" s="688"/>
      <c r="N27" s="687"/>
      <c r="O27" s="689"/>
      <c r="P27" s="689"/>
      <c r="Q27" s="465"/>
      <c r="R27" s="465"/>
      <c r="S27" s="465"/>
    </row>
    <row r="28" spans="1:19" x14ac:dyDescent="0.2">
      <c r="A28" s="687"/>
      <c r="B28" s="687"/>
      <c r="C28" s="689"/>
      <c r="D28" s="691"/>
      <c r="E28" s="686"/>
      <c r="F28" s="687"/>
      <c r="G28" s="689"/>
      <c r="H28" s="690"/>
      <c r="I28" s="688"/>
      <c r="J28" s="687"/>
      <c r="K28" s="689"/>
      <c r="L28" s="690"/>
      <c r="M28" s="688"/>
      <c r="N28" s="687"/>
      <c r="O28" s="689"/>
      <c r="P28" s="689"/>
      <c r="Q28" s="465"/>
      <c r="R28" s="465"/>
      <c r="S28" s="465"/>
    </row>
    <row r="29" spans="1:19" x14ac:dyDescent="0.2">
      <c r="A29" s="687"/>
      <c r="B29" s="687"/>
      <c r="C29" s="689"/>
      <c r="D29" s="691"/>
      <c r="E29" s="686"/>
      <c r="F29" s="687"/>
      <c r="G29" s="689"/>
      <c r="H29" s="690"/>
      <c r="I29" s="688"/>
      <c r="J29" s="687"/>
      <c r="K29" s="689"/>
      <c r="L29" s="690"/>
      <c r="M29" s="688"/>
      <c r="N29" s="687"/>
      <c r="O29" s="689"/>
      <c r="P29" s="689"/>
      <c r="Q29" s="465"/>
      <c r="R29" s="465"/>
      <c r="S29" s="465"/>
    </row>
    <row r="30" spans="1:19" x14ac:dyDescent="0.2">
      <c r="A30" s="687"/>
      <c r="B30" s="687"/>
      <c r="C30" s="689"/>
      <c r="D30" s="691"/>
      <c r="E30" s="686"/>
      <c r="F30" s="687"/>
      <c r="G30" s="689"/>
      <c r="H30" s="690"/>
      <c r="I30" s="688"/>
      <c r="J30" s="687"/>
      <c r="K30" s="689"/>
      <c r="L30" s="690"/>
      <c r="M30" s="688"/>
      <c r="N30" s="687"/>
      <c r="O30" s="689"/>
      <c r="P30" s="689"/>
    </row>
    <row r="31" spans="1:19" x14ac:dyDescent="0.2">
      <c r="A31" s="687"/>
      <c r="B31" s="687"/>
      <c r="C31" s="689"/>
      <c r="D31" s="691"/>
      <c r="E31" s="686"/>
      <c r="F31" s="687"/>
      <c r="G31" s="689"/>
      <c r="H31" s="690"/>
      <c r="I31" s="688"/>
      <c r="J31" s="687"/>
      <c r="K31" s="689"/>
      <c r="L31" s="690"/>
      <c r="M31" s="688"/>
      <c r="N31" s="687"/>
      <c r="O31" s="689"/>
      <c r="P31" s="689"/>
    </row>
    <row r="32" spans="1:19" x14ac:dyDescent="0.2">
      <c r="A32" s="687"/>
      <c r="B32" s="687"/>
      <c r="C32" s="689"/>
      <c r="D32" s="691"/>
      <c r="E32" s="686"/>
      <c r="F32" s="687"/>
      <c r="G32" s="689"/>
      <c r="H32" s="690"/>
      <c r="I32" s="688"/>
      <c r="J32" s="687"/>
      <c r="K32" s="689"/>
      <c r="L32" s="690"/>
      <c r="M32" s="688"/>
      <c r="N32" s="687"/>
      <c r="O32" s="689"/>
      <c r="P32" s="689"/>
    </row>
    <row r="33" spans="1:16" x14ac:dyDescent="0.2">
      <c r="A33" s="687"/>
      <c r="B33" s="687"/>
      <c r="C33" s="689"/>
      <c r="D33" s="691"/>
      <c r="E33" s="686"/>
      <c r="F33" s="687"/>
      <c r="G33" s="689"/>
      <c r="H33" s="690"/>
      <c r="I33" s="688"/>
      <c r="J33" s="687"/>
      <c r="K33" s="689"/>
      <c r="L33" s="690"/>
      <c r="M33" s="688"/>
      <c r="N33" s="687"/>
      <c r="O33" s="689"/>
      <c r="P33" s="689"/>
    </row>
    <row r="34" spans="1:16" x14ac:dyDescent="0.2">
      <c r="A34" s="687"/>
      <c r="B34" s="687"/>
      <c r="C34" s="689"/>
      <c r="D34" s="691"/>
      <c r="E34" s="686"/>
      <c r="F34" s="687"/>
      <c r="G34" s="689"/>
      <c r="H34" s="690"/>
      <c r="I34" s="688"/>
      <c r="J34" s="687"/>
      <c r="K34" s="689"/>
      <c r="L34" s="690"/>
      <c r="M34" s="688"/>
      <c r="N34" s="687"/>
      <c r="O34" s="689"/>
      <c r="P34" s="689"/>
    </row>
    <row r="35" spans="1:16" x14ac:dyDescent="0.2">
      <c r="A35" s="687"/>
      <c r="B35" s="687"/>
      <c r="C35" s="689"/>
      <c r="D35" s="691"/>
      <c r="E35" s="686"/>
      <c r="F35" s="687"/>
      <c r="G35" s="689"/>
      <c r="H35" s="690"/>
      <c r="I35" s="688"/>
      <c r="J35" s="687"/>
      <c r="K35" s="689"/>
      <c r="L35" s="690"/>
      <c r="M35" s="688"/>
      <c r="N35" s="687"/>
      <c r="O35" s="689"/>
      <c r="P35" s="689"/>
    </row>
    <row r="36" spans="1:16" x14ac:dyDescent="0.2">
      <c r="A36" s="687"/>
      <c r="B36" s="687"/>
      <c r="C36" s="689"/>
      <c r="D36" s="691"/>
      <c r="E36" s="686"/>
      <c r="F36" s="687"/>
      <c r="G36" s="689"/>
      <c r="H36" s="690"/>
      <c r="I36" s="688"/>
      <c r="J36" s="687"/>
      <c r="K36" s="689"/>
      <c r="L36" s="690"/>
      <c r="M36" s="688"/>
      <c r="N36" s="687"/>
      <c r="O36" s="689"/>
      <c r="P36" s="689"/>
    </row>
    <row r="37" spans="1:16" ht="14.25" customHeight="1" x14ac:dyDescent="0.2">
      <c r="A37" s="687"/>
      <c r="B37" s="687"/>
      <c r="C37" s="689"/>
      <c r="D37" s="691"/>
      <c r="E37" s="686"/>
      <c r="F37" s="687"/>
      <c r="G37" s="689"/>
      <c r="H37" s="690"/>
      <c r="I37" s="688"/>
      <c r="J37" s="687"/>
      <c r="K37" s="689"/>
      <c r="L37" s="690"/>
      <c r="M37" s="688"/>
      <c r="N37" s="687"/>
      <c r="O37" s="689"/>
      <c r="P37" s="689"/>
    </row>
    <row r="38" spans="1:16" x14ac:dyDescent="0.2">
      <c r="A38" s="687"/>
      <c r="B38" s="687"/>
      <c r="C38" s="689"/>
      <c r="D38" s="691"/>
      <c r="E38" s="686"/>
      <c r="F38" s="687"/>
      <c r="G38" s="689"/>
      <c r="H38" s="690"/>
      <c r="I38" s="688"/>
      <c r="J38" s="687"/>
      <c r="K38" s="689"/>
      <c r="L38" s="690"/>
      <c r="M38" s="688"/>
      <c r="N38" s="687"/>
      <c r="O38" s="689"/>
      <c r="P38" s="689"/>
    </row>
    <row r="39" spans="1:16" x14ac:dyDescent="0.2">
      <c r="A39" s="687"/>
      <c r="B39" s="687"/>
      <c r="C39" s="689"/>
      <c r="D39" s="691"/>
      <c r="E39" s="686"/>
      <c r="F39" s="687"/>
      <c r="G39" s="689"/>
      <c r="H39" s="690"/>
      <c r="I39" s="688"/>
      <c r="J39" s="687"/>
      <c r="K39" s="689"/>
      <c r="L39" s="690"/>
      <c r="M39" s="688"/>
      <c r="N39" s="687"/>
      <c r="O39" s="689"/>
      <c r="P39" s="689"/>
    </row>
    <row r="40" spans="1:16" x14ac:dyDescent="0.2">
      <c r="A40" s="687"/>
      <c r="B40" s="687"/>
      <c r="C40" s="689"/>
      <c r="D40" s="691"/>
      <c r="E40" s="686"/>
      <c r="F40" s="687"/>
      <c r="G40" s="689"/>
      <c r="H40" s="690"/>
      <c r="I40" s="688"/>
      <c r="J40" s="687"/>
      <c r="K40" s="689"/>
      <c r="L40" s="690"/>
      <c r="M40" s="688"/>
      <c r="N40" s="687"/>
      <c r="O40" s="689"/>
      <c r="P40" s="689"/>
    </row>
    <row r="41" spans="1:16" x14ac:dyDescent="0.2">
      <c r="A41" s="687"/>
      <c r="B41" s="687"/>
      <c r="C41" s="689"/>
      <c r="D41" s="691"/>
      <c r="E41" s="686"/>
      <c r="F41" s="687"/>
      <c r="G41" s="689"/>
      <c r="H41" s="690"/>
      <c r="I41" s="688"/>
      <c r="J41" s="687"/>
      <c r="K41" s="689"/>
      <c r="L41" s="690"/>
      <c r="M41" s="688"/>
      <c r="N41" s="687"/>
      <c r="O41" s="689"/>
      <c r="P41" s="689"/>
    </row>
    <row r="42" spans="1:16" x14ac:dyDescent="0.2">
      <c r="A42" s="687"/>
      <c r="B42" s="687"/>
      <c r="C42" s="689"/>
      <c r="D42" s="691"/>
      <c r="E42" s="686"/>
      <c r="F42" s="687"/>
      <c r="G42" s="689"/>
      <c r="H42" s="690"/>
      <c r="I42" s="688"/>
      <c r="J42" s="687"/>
      <c r="K42" s="689"/>
      <c r="L42" s="690"/>
      <c r="M42" s="688"/>
      <c r="N42" s="687"/>
      <c r="O42" s="689"/>
      <c r="P42" s="689"/>
    </row>
    <row r="43" spans="1:16" x14ac:dyDescent="0.2">
      <c r="A43" s="687"/>
      <c r="B43" s="687"/>
      <c r="C43" s="689"/>
      <c r="D43" s="691"/>
      <c r="E43" s="686"/>
      <c r="F43" s="687"/>
      <c r="G43" s="689"/>
      <c r="H43" s="690"/>
      <c r="I43" s="688"/>
      <c r="J43" s="687"/>
      <c r="K43" s="689"/>
      <c r="L43" s="690"/>
      <c r="M43" s="688"/>
      <c r="N43" s="687"/>
      <c r="O43" s="689"/>
      <c r="P43" s="689"/>
    </row>
    <row r="44" spans="1:16" x14ac:dyDescent="0.2">
      <c r="A44" s="687"/>
      <c r="B44" s="687"/>
      <c r="C44" s="689"/>
      <c r="D44" s="691"/>
      <c r="E44" s="686"/>
      <c r="F44" s="687"/>
      <c r="G44" s="689"/>
      <c r="H44" s="690"/>
      <c r="I44" s="688"/>
      <c r="J44" s="687"/>
      <c r="K44" s="689"/>
      <c r="L44" s="690"/>
      <c r="M44" s="688"/>
      <c r="N44" s="687"/>
      <c r="O44" s="689"/>
      <c r="P44" s="689"/>
    </row>
    <row r="45" spans="1:16" x14ac:dyDescent="0.2">
      <c r="A45" s="687"/>
      <c r="B45" s="687"/>
      <c r="C45" s="689"/>
      <c r="D45" s="691"/>
      <c r="E45" s="686"/>
      <c r="F45" s="687"/>
      <c r="G45" s="689"/>
      <c r="H45" s="690"/>
      <c r="I45" s="688"/>
      <c r="J45" s="687"/>
      <c r="K45" s="689"/>
      <c r="L45" s="690"/>
      <c r="M45" s="688"/>
      <c r="N45" s="687"/>
      <c r="O45" s="689"/>
      <c r="P45" s="689"/>
    </row>
    <row r="46" spans="1:16" x14ac:dyDescent="0.2">
      <c r="A46" s="687"/>
      <c r="B46" s="687"/>
      <c r="C46" s="689"/>
      <c r="D46" s="691"/>
      <c r="E46" s="686"/>
      <c r="F46" s="687"/>
      <c r="G46" s="689"/>
      <c r="H46" s="690"/>
      <c r="I46" s="688"/>
      <c r="J46" s="687"/>
      <c r="K46" s="689"/>
      <c r="L46" s="690"/>
      <c r="M46" s="688"/>
      <c r="N46" s="687"/>
      <c r="O46" s="689"/>
      <c r="P46" s="689"/>
    </row>
    <row r="47" spans="1:16" x14ac:dyDescent="0.2">
      <c r="A47" s="687"/>
      <c r="B47" s="687"/>
      <c r="C47" s="689"/>
      <c r="D47" s="691"/>
      <c r="E47" s="686"/>
      <c r="F47" s="687"/>
      <c r="G47" s="689"/>
      <c r="H47" s="690"/>
      <c r="I47" s="688"/>
      <c r="J47" s="687"/>
      <c r="K47" s="689"/>
      <c r="L47" s="690"/>
      <c r="M47" s="688"/>
      <c r="N47" s="687"/>
      <c r="O47" s="689"/>
      <c r="P47" s="689"/>
    </row>
    <row r="48" spans="1:16" x14ac:dyDescent="0.2">
      <c r="A48" s="687"/>
      <c r="B48" s="687"/>
      <c r="C48" s="689"/>
      <c r="D48" s="691"/>
      <c r="E48" s="686"/>
      <c r="F48" s="687"/>
      <c r="G48" s="689"/>
      <c r="H48" s="690"/>
      <c r="I48" s="688"/>
      <c r="J48" s="687"/>
      <c r="K48" s="689"/>
      <c r="L48" s="690"/>
      <c r="M48" s="688"/>
      <c r="N48" s="687"/>
      <c r="O48" s="689"/>
      <c r="P48" s="689"/>
    </row>
    <row r="49" spans="1:16" x14ac:dyDescent="0.2">
      <c r="A49" s="687"/>
      <c r="B49" s="687"/>
      <c r="C49" s="689"/>
      <c r="D49" s="691"/>
      <c r="E49" s="686"/>
      <c r="F49" s="687"/>
      <c r="G49" s="689"/>
      <c r="H49" s="690"/>
      <c r="I49" s="688"/>
      <c r="J49" s="687"/>
      <c r="K49" s="689"/>
      <c r="L49" s="690"/>
      <c r="M49" s="688"/>
      <c r="N49" s="687"/>
      <c r="O49" s="689"/>
      <c r="P49" s="689"/>
    </row>
    <row r="50" spans="1:16" x14ac:dyDescent="0.2">
      <c r="A50" s="687"/>
      <c r="B50" s="687"/>
      <c r="C50" s="689"/>
      <c r="D50" s="691"/>
      <c r="E50" s="686"/>
      <c r="F50" s="687"/>
      <c r="G50" s="689"/>
      <c r="H50" s="690"/>
      <c r="I50" s="688"/>
      <c r="J50" s="687"/>
      <c r="K50" s="689"/>
      <c r="L50" s="690"/>
      <c r="M50" s="688"/>
      <c r="N50" s="687"/>
      <c r="O50" s="689"/>
      <c r="P50" s="689"/>
    </row>
    <row r="51" spans="1:16" ht="18.75" x14ac:dyDescent="0.25">
      <c r="A51" s="464"/>
      <c r="B51" s="464"/>
      <c r="C51" s="467"/>
      <c r="D51" s="464"/>
      <c r="E51" s="473"/>
      <c r="F51" s="445"/>
      <c r="G51" s="445"/>
      <c r="H51" s="464"/>
      <c r="L51" s="464"/>
      <c r="M51" s="476"/>
      <c r="N51" s="467"/>
      <c r="O51" s="464"/>
      <c r="P51" s="464"/>
    </row>
    <row r="52" spans="1:16" ht="18.75" x14ac:dyDescent="0.25">
      <c r="A52" s="464"/>
      <c r="B52" s="464"/>
      <c r="C52" s="467"/>
      <c r="D52" s="464"/>
      <c r="E52" s="473"/>
      <c r="F52" s="445"/>
      <c r="G52" s="445"/>
      <c r="H52" s="464"/>
      <c r="L52" s="464"/>
      <c r="M52" s="476"/>
      <c r="N52" s="467"/>
      <c r="O52" s="464"/>
      <c r="P52" s="464"/>
    </row>
    <row r="53" spans="1:16" ht="18.75" x14ac:dyDescent="0.25">
      <c r="A53" s="464"/>
      <c r="B53" s="464"/>
      <c r="C53" s="467"/>
      <c r="D53" s="464"/>
      <c r="E53" s="473"/>
      <c r="F53" s="445"/>
      <c r="G53" s="445"/>
      <c r="H53" s="464"/>
      <c r="L53" s="464"/>
      <c r="M53" s="476"/>
      <c r="N53" s="467"/>
      <c r="O53" s="464"/>
      <c r="P53" s="464"/>
    </row>
    <row r="54" spans="1:16" ht="18.75" x14ac:dyDescent="0.25">
      <c r="A54" s="464"/>
      <c r="B54" s="464"/>
      <c r="C54" s="467"/>
      <c r="D54" s="464"/>
      <c r="H54" s="464"/>
      <c r="L54" s="464"/>
      <c r="M54" s="476"/>
      <c r="N54" s="467"/>
      <c r="O54" s="464"/>
      <c r="P54" s="464"/>
    </row>
    <row r="55" spans="1:16" ht="18.75" x14ac:dyDescent="0.25">
      <c r="A55" s="464"/>
      <c r="B55" s="464"/>
      <c r="C55" s="467"/>
      <c r="D55" s="464"/>
      <c r="H55" s="464"/>
      <c r="L55" s="464"/>
      <c r="M55" s="476"/>
      <c r="N55" s="467"/>
      <c r="O55" s="464"/>
      <c r="P55" s="464"/>
    </row>
    <row r="56" spans="1:16" ht="18.75" x14ac:dyDescent="0.25">
      <c r="A56" s="464"/>
      <c r="B56" s="464"/>
      <c r="C56" s="467"/>
      <c r="D56" s="464"/>
      <c r="H56" s="464"/>
      <c r="L56" s="464"/>
      <c r="M56" s="476"/>
      <c r="N56" s="467"/>
      <c r="O56" s="464"/>
      <c r="P56" s="464"/>
    </row>
    <row r="57" spans="1:16" ht="18.75" x14ac:dyDescent="0.25">
      <c r="A57" s="464"/>
      <c r="B57" s="464"/>
      <c r="C57" s="467"/>
      <c r="D57" s="464"/>
      <c r="H57" s="464"/>
      <c r="L57" s="464"/>
      <c r="M57" s="476"/>
      <c r="N57" s="467"/>
      <c r="O57" s="464"/>
      <c r="P57" s="464"/>
    </row>
    <row r="58" spans="1:16" ht="18.75" x14ac:dyDescent="0.25">
      <c r="A58" s="464"/>
      <c r="B58" s="464"/>
      <c r="C58" s="467"/>
      <c r="D58" s="464"/>
      <c r="H58" s="464"/>
      <c r="L58" s="464"/>
      <c r="M58" s="476"/>
      <c r="N58" s="467"/>
      <c r="O58" s="464"/>
      <c r="P58" s="464"/>
    </row>
    <row r="59" spans="1:16" ht="18.75" x14ac:dyDescent="0.25">
      <c r="A59" s="464"/>
      <c r="B59" s="464"/>
      <c r="C59" s="467"/>
      <c r="D59" s="464"/>
      <c r="H59" s="464"/>
      <c r="L59" s="464"/>
      <c r="M59" s="476"/>
      <c r="N59" s="467"/>
      <c r="O59" s="464"/>
      <c r="P59" s="464"/>
    </row>
    <row r="60" spans="1:16" ht="18.75" x14ac:dyDescent="0.25">
      <c r="A60" s="464"/>
      <c r="B60" s="464"/>
      <c r="C60" s="467"/>
      <c r="D60" s="464"/>
      <c r="H60" s="464"/>
      <c r="L60" s="464"/>
      <c r="M60" s="476"/>
      <c r="N60" s="467"/>
      <c r="O60" s="464"/>
      <c r="P60" s="464"/>
    </row>
    <row r="61" spans="1:16" ht="18.75" x14ac:dyDescent="0.25">
      <c r="A61" s="464"/>
      <c r="B61" s="464"/>
      <c r="C61" s="467"/>
      <c r="D61" s="464"/>
      <c r="H61" s="464"/>
      <c r="L61" s="464"/>
      <c r="M61" s="476"/>
      <c r="N61" s="467"/>
      <c r="O61" s="464"/>
      <c r="P61" s="464"/>
    </row>
    <row r="62" spans="1:16" ht="18.75" x14ac:dyDescent="0.25">
      <c r="A62" s="464"/>
      <c r="B62" s="464"/>
      <c r="C62" s="467"/>
      <c r="D62" s="464"/>
      <c r="H62" s="464"/>
      <c r="L62" s="464"/>
      <c r="M62" s="476"/>
      <c r="N62" s="467"/>
      <c r="O62" s="464"/>
      <c r="P62" s="464"/>
    </row>
    <row r="63" spans="1:16" ht="18.75" x14ac:dyDescent="0.25">
      <c r="A63" s="464"/>
      <c r="B63" s="464"/>
      <c r="C63" s="467"/>
      <c r="D63" s="464"/>
      <c r="H63" s="464"/>
      <c r="L63" s="464"/>
      <c r="M63" s="476"/>
      <c r="N63" s="467"/>
      <c r="O63" s="464"/>
      <c r="P63" s="464"/>
    </row>
    <row r="64" spans="1:16" ht="18.75" x14ac:dyDescent="0.25">
      <c r="A64" s="464"/>
      <c r="B64" s="464"/>
      <c r="C64" s="467"/>
      <c r="D64" s="464"/>
      <c r="H64" s="464"/>
      <c r="L64" s="464"/>
      <c r="M64" s="476"/>
      <c r="N64" s="467"/>
      <c r="O64" s="464"/>
      <c r="P64" s="464"/>
    </row>
    <row r="65" spans="1:16" ht="18.75" x14ac:dyDescent="0.25">
      <c r="A65" s="464"/>
      <c r="B65" s="464"/>
      <c r="C65" s="467"/>
      <c r="D65" s="464"/>
      <c r="H65" s="464"/>
      <c r="L65" s="464"/>
      <c r="M65" s="476"/>
      <c r="N65" s="467"/>
      <c r="O65" s="464"/>
      <c r="P65" s="464"/>
    </row>
    <row r="66" spans="1:16" ht="18.75" x14ac:dyDescent="0.25">
      <c r="A66" s="464"/>
      <c r="B66" s="464"/>
      <c r="C66" s="467"/>
      <c r="D66" s="464"/>
      <c r="H66" s="464"/>
      <c r="L66" s="464"/>
      <c r="M66" s="476"/>
      <c r="N66" s="467"/>
      <c r="O66" s="464"/>
      <c r="P66" s="464"/>
    </row>
    <row r="67" spans="1:16" ht="18.75" x14ac:dyDescent="0.25">
      <c r="A67" s="464"/>
      <c r="B67" s="464"/>
      <c r="C67" s="467"/>
      <c r="D67" s="464"/>
      <c r="H67" s="464"/>
      <c r="L67" s="464"/>
      <c r="M67" s="476"/>
      <c r="N67" s="467"/>
      <c r="O67" s="464"/>
      <c r="P67" s="464"/>
    </row>
    <row r="68" spans="1:16" ht="18.75" x14ac:dyDescent="0.25">
      <c r="A68" s="464"/>
      <c r="B68" s="464"/>
      <c r="C68" s="467"/>
      <c r="D68" s="464"/>
      <c r="H68" s="464"/>
      <c r="L68" s="464"/>
      <c r="M68" s="476"/>
      <c r="N68" s="467"/>
      <c r="O68" s="464"/>
      <c r="P68" s="464"/>
    </row>
    <row r="69" spans="1:16" ht="18.75" x14ac:dyDescent="0.25">
      <c r="A69" s="464"/>
      <c r="B69" s="464"/>
      <c r="C69" s="467"/>
      <c r="D69" s="464"/>
      <c r="H69" s="464"/>
      <c r="L69" s="464"/>
      <c r="M69" s="476"/>
      <c r="N69" s="467"/>
      <c r="O69" s="464"/>
      <c r="P69" s="464"/>
    </row>
    <row r="70" spans="1:16" ht="18.75" x14ac:dyDescent="0.25">
      <c r="A70" s="464"/>
      <c r="B70" s="464"/>
      <c r="C70" s="467"/>
      <c r="D70" s="464"/>
      <c r="H70" s="464"/>
      <c r="L70" s="464"/>
      <c r="M70" s="476"/>
      <c r="N70" s="467"/>
      <c r="O70" s="464"/>
      <c r="P70" s="464"/>
    </row>
    <row r="71" spans="1:16" ht="18.75" x14ac:dyDescent="0.25">
      <c r="A71" s="464"/>
      <c r="B71" s="464"/>
      <c r="C71" s="467"/>
      <c r="D71" s="464"/>
      <c r="H71" s="464"/>
      <c r="L71" s="464"/>
      <c r="M71" s="476"/>
      <c r="N71" s="467"/>
      <c r="O71" s="464"/>
      <c r="P71" s="464"/>
    </row>
    <row r="72" spans="1:16" ht="18.75" x14ac:dyDescent="0.25">
      <c r="A72" s="464"/>
      <c r="B72" s="464"/>
      <c r="C72" s="467"/>
      <c r="D72" s="464"/>
      <c r="H72" s="464"/>
      <c r="L72" s="464"/>
      <c r="M72" s="476"/>
      <c r="N72" s="467"/>
      <c r="O72" s="464"/>
      <c r="P72" s="464"/>
    </row>
    <row r="73" spans="1:16" ht="18.75" x14ac:dyDescent="0.25">
      <c r="A73" s="464"/>
      <c r="B73" s="464"/>
      <c r="C73" s="467"/>
      <c r="D73" s="464"/>
      <c r="H73" s="464"/>
      <c r="L73" s="464"/>
      <c r="M73" s="476"/>
      <c r="N73" s="467"/>
      <c r="O73" s="464"/>
      <c r="P73" s="464"/>
    </row>
    <row r="74" spans="1:16" ht="18.75" x14ac:dyDescent="0.25">
      <c r="A74" s="464"/>
      <c r="B74" s="464"/>
      <c r="C74" s="467"/>
      <c r="D74" s="464"/>
      <c r="H74" s="464"/>
      <c r="L74" s="464"/>
      <c r="M74" s="476"/>
      <c r="N74" s="467"/>
      <c r="O74" s="464"/>
      <c r="P74" s="464"/>
    </row>
    <row r="75" spans="1:16" ht="18.75" x14ac:dyDescent="0.25">
      <c r="A75" s="464"/>
      <c r="B75" s="464"/>
      <c r="C75" s="467"/>
      <c r="D75" s="464"/>
      <c r="H75" s="464"/>
      <c r="L75" s="464"/>
      <c r="M75" s="476"/>
      <c r="N75" s="467"/>
      <c r="O75" s="464"/>
      <c r="P75" s="464"/>
    </row>
    <row r="76" spans="1:16" ht="18.75" x14ac:dyDescent="0.25">
      <c r="A76" s="464"/>
      <c r="B76" s="464"/>
      <c r="C76" s="467"/>
      <c r="D76" s="464"/>
      <c r="H76" s="464"/>
      <c r="L76" s="464"/>
      <c r="M76" s="476"/>
      <c r="N76" s="467"/>
      <c r="O76" s="464"/>
      <c r="P76" s="464"/>
    </row>
    <row r="77" spans="1:16" ht="18.75" x14ac:dyDescent="0.25">
      <c r="A77" s="464"/>
      <c r="B77" s="464"/>
      <c r="C77" s="467"/>
      <c r="D77" s="464"/>
      <c r="H77" s="464"/>
      <c r="L77" s="464"/>
      <c r="M77" s="476"/>
      <c r="N77" s="467"/>
      <c r="O77" s="464"/>
      <c r="P77" s="464"/>
    </row>
    <row r="78" spans="1:16" ht="18.75" x14ac:dyDescent="0.25">
      <c r="A78" s="464"/>
      <c r="B78" s="464"/>
      <c r="C78" s="467"/>
      <c r="D78" s="464"/>
      <c r="H78" s="464"/>
      <c r="L78" s="464"/>
      <c r="M78" s="476"/>
      <c r="N78" s="467"/>
      <c r="O78" s="464"/>
      <c r="P78" s="464"/>
    </row>
    <row r="79" spans="1:16" ht="18.75" x14ac:dyDescent="0.25">
      <c r="A79" s="464"/>
      <c r="B79" s="464"/>
      <c r="C79" s="467"/>
      <c r="D79" s="464"/>
      <c r="H79" s="464"/>
      <c r="L79" s="464"/>
      <c r="M79" s="476"/>
      <c r="N79" s="467"/>
      <c r="O79" s="464"/>
      <c r="P79" s="464"/>
    </row>
    <row r="80" spans="1:16" ht="18.75" x14ac:dyDescent="0.25">
      <c r="A80" s="464"/>
      <c r="B80" s="464"/>
      <c r="C80" s="467"/>
      <c r="D80" s="464"/>
      <c r="H80" s="464"/>
      <c r="L80" s="464"/>
      <c r="M80" s="476"/>
      <c r="N80" s="467"/>
      <c r="O80" s="464"/>
      <c r="P80" s="464"/>
    </row>
    <row r="81" spans="1:16" ht="18.75" x14ac:dyDescent="0.25">
      <c r="A81" s="464"/>
      <c r="B81" s="464"/>
      <c r="C81" s="467"/>
      <c r="D81" s="464"/>
      <c r="H81" s="464"/>
      <c r="L81" s="464"/>
      <c r="M81" s="476"/>
      <c r="N81" s="467"/>
      <c r="O81" s="464"/>
      <c r="P81" s="464"/>
    </row>
    <row r="82" spans="1:16" ht="18.75" x14ac:dyDescent="0.25">
      <c r="A82" s="464"/>
      <c r="B82" s="464"/>
      <c r="C82" s="467"/>
      <c r="D82" s="464"/>
      <c r="H82" s="464"/>
      <c r="L82" s="464"/>
      <c r="M82" s="476"/>
      <c r="N82" s="467"/>
      <c r="O82" s="464"/>
      <c r="P82" s="464"/>
    </row>
    <row r="83" spans="1:16" ht="18.75" x14ac:dyDescent="0.25">
      <c r="A83" s="464"/>
      <c r="B83" s="464"/>
      <c r="C83" s="467"/>
      <c r="D83" s="464"/>
      <c r="H83" s="464"/>
      <c r="L83" s="464"/>
      <c r="M83" s="476"/>
      <c r="N83" s="467"/>
      <c r="O83" s="464"/>
      <c r="P83" s="464"/>
    </row>
    <row r="84" spans="1:16" ht="18.75" x14ac:dyDescent="0.25">
      <c r="A84" s="464"/>
      <c r="B84" s="464"/>
      <c r="C84" s="467"/>
      <c r="D84" s="464"/>
      <c r="H84" s="464"/>
      <c r="L84" s="464"/>
      <c r="M84" s="476"/>
      <c r="N84" s="467"/>
      <c r="O84" s="464"/>
      <c r="P84" s="464"/>
    </row>
    <row r="85" spans="1:16" ht="18.75" x14ac:dyDescent="0.25">
      <c r="A85" s="464"/>
      <c r="B85" s="464"/>
      <c r="C85" s="467"/>
      <c r="D85" s="464"/>
      <c r="H85" s="464"/>
      <c r="L85" s="464"/>
      <c r="M85" s="476"/>
      <c r="N85" s="467"/>
      <c r="O85" s="464"/>
      <c r="P85" s="464"/>
    </row>
    <row r="86" spans="1:16" ht="18.75" x14ac:dyDescent="0.25">
      <c r="A86" s="464"/>
      <c r="B86" s="464"/>
      <c r="C86" s="467"/>
      <c r="D86" s="464"/>
      <c r="H86" s="464"/>
      <c r="L86" s="464"/>
      <c r="M86" s="476"/>
      <c r="N86" s="467"/>
      <c r="O86" s="464"/>
      <c r="P86" s="464"/>
    </row>
    <row r="87" spans="1:16" ht="18.75" x14ac:dyDescent="0.25">
      <c r="A87" s="464"/>
      <c r="B87" s="464"/>
      <c r="C87" s="467"/>
      <c r="D87" s="464"/>
      <c r="H87" s="464"/>
      <c r="L87" s="464"/>
      <c r="M87" s="476"/>
      <c r="N87" s="467"/>
      <c r="O87" s="464"/>
      <c r="P87" s="464"/>
    </row>
    <row r="88" spans="1:16" ht="18.75" x14ac:dyDescent="0.25">
      <c r="A88" s="464"/>
      <c r="B88" s="464"/>
      <c r="C88" s="467"/>
      <c r="D88" s="464"/>
      <c r="H88" s="464"/>
      <c r="L88" s="464"/>
      <c r="M88" s="476"/>
      <c r="N88" s="467"/>
      <c r="O88" s="464"/>
      <c r="P88" s="464"/>
    </row>
    <row r="89" spans="1:16" ht="18.75" x14ac:dyDescent="0.25">
      <c r="A89" s="464"/>
      <c r="B89" s="464"/>
      <c r="C89" s="467"/>
      <c r="D89" s="464"/>
      <c r="H89" s="464"/>
      <c r="L89" s="464"/>
      <c r="M89" s="476"/>
      <c r="N89" s="467"/>
      <c r="O89" s="464"/>
      <c r="P89" s="464"/>
    </row>
    <row r="90" spans="1:16" ht="18.75" x14ac:dyDescent="0.25">
      <c r="A90" s="464"/>
      <c r="B90" s="464"/>
      <c r="C90" s="467"/>
      <c r="D90" s="464"/>
      <c r="H90" s="464"/>
      <c r="L90" s="464"/>
      <c r="M90" s="476"/>
      <c r="N90" s="467"/>
      <c r="O90" s="464"/>
      <c r="P90" s="464"/>
    </row>
    <row r="91" spans="1:16" ht="18.75" x14ac:dyDescent="0.25">
      <c r="A91" s="464"/>
      <c r="B91" s="464"/>
      <c r="C91" s="467"/>
      <c r="D91" s="464"/>
      <c r="H91" s="464"/>
      <c r="L91" s="464"/>
      <c r="M91" s="476"/>
      <c r="N91" s="467"/>
      <c r="O91" s="464"/>
      <c r="P91" s="464"/>
    </row>
    <row r="92" spans="1:16" ht="18.75" x14ac:dyDescent="0.25">
      <c r="A92" s="464"/>
      <c r="B92" s="464"/>
      <c r="C92" s="467"/>
      <c r="D92" s="464"/>
      <c r="H92" s="464"/>
      <c r="L92" s="464"/>
      <c r="M92" s="476"/>
      <c r="N92" s="467"/>
      <c r="O92" s="464"/>
      <c r="P92" s="464"/>
    </row>
    <row r="93" spans="1:16" ht="18.75" x14ac:dyDescent="0.25">
      <c r="A93" s="464"/>
      <c r="B93" s="464"/>
      <c r="C93" s="467"/>
      <c r="D93" s="464"/>
      <c r="H93" s="464"/>
      <c r="L93" s="464"/>
      <c r="M93" s="476"/>
      <c r="N93" s="467"/>
      <c r="O93" s="464"/>
      <c r="P93" s="464"/>
    </row>
    <row r="94" spans="1:16" ht="18.75" x14ac:dyDescent="0.25">
      <c r="A94" s="464"/>
      <c r="B94" s="464"/>
      <c r="C94" s="467"/>
      <c r="D94" s="464"/>
      <c r="H94" s="464"/>
      <c r="L94" s="464"/>
      <c r="M94" s="476"/>
      <c r="N94" s="467"/>
      <c r="O94" s="464"/>
      <c r="P94" s="464"/>
    </row>
    <row r="95" spans="1:16" ht="18.75" x14ac:dyDescent="0.25">
      <c r="A95" s="464"/>
      <c r="B95" s="464"/>
      <c r="C95" s="467"/>
      <c r="D95" s="464"/>
      <c r="H95" s="464"/>
      <c r="L95" s="464"/>
      <c r="M95" s="476"/>
      <c r="N95" s="467"/>
      <c r="O95" s="464"/>
      <c r="P95" s="464"/>
    </row>
    <row r="96" spans="1:16" ht="18.75" x14ac:dyDescent="0.25">
      <c r="A96" s="464"/>
      <c r="B96" s="464"/>
      <c r="C96" s="467"/>
      <c r="D96" s="464"/>
      <c r="H96" s="464"/>
      <c r="L96" s="464"/>
      <c r="M96" s="476"/>
      <c r="N96" s="467"/>
      <c r="O96" s="464"/>
      <c r="P96" s="464"/>
    </row>
    <row r="97" spans="1:16" ht="18.75" x14ac:dyDescent="0.25">
      <c r="A97" s="464"/>
      <c r="B97" s="464"/>
      <c r="C97" s="467"/>
      <c r="D97" s="464"/>
      <c r="H97" s="464"/>
      <c r="L97" s="464"/>
      <c r="M97" s="476"/>
      <c r="N97" s="467"/>
      <c r="O97" s="464"/>
      <c r="P97" s="464"/>
    </row>
    <row r="98" spans="1:16" ht="18.75" x14ac:dyDescent="0.25">
      <c r="A98" s="464"/>
      <c r="B98" s="464"/>
      <c r="C98" s="467"/>
      <c r="D98" s="464"/>
      <c r="H98" s="464"/>
      <c r="L98" s="464"/>
      <c r="M98" s="476"/>
      <c r="N98" s="467"/>
      <c r="O98" s="464"/>
      <c r="P98" s="464"/>
    </row>
    <row r="99" spans="1:16" ht="18.75" x14ac:dyDescent="0.25">
      <c r="A99" s="464"/>
      <c r="B99" s="464"/>
      <c r="C99" s="467"/>
      <c r="D99" s="464"/>
      <c r="H99" s="464"/>
      <c r="L99" s="464"/>
      <c r="M99" s="476"/>
      <c r="N99" s="467"/>
      <c r="O99" s="464"/>
      <c r="P99" s="464"/>
    </row>
    <row r="100" spans="1:16" ht="18.75" x14ac:dyDescent="0.25">
      <c r="A100" s="464"/>
      <c r="B100" s="464"/>
      <c r="C100" s="467"/>
      <c r="D100" s="464"/>
      <c r="H100" s="464"/>
      <c r="L100" s="464"/>
      <c r="M100" s="476"/>
      <c r="N100" s="467"/>
      <c r="O100" s="464"/>
      <c r="P100" s="464"/>
    </row>
    <row r="101" spans="1:16" ht="18.75" x14ac:dyDescent="0.25">
      <c r="A101" s="464"/>
      <c r="B101" s="464"/>
      <c r="C101" s="467"/>
      <c r="D101" s="464"/>
      <c r="H101" s="464"/>
      <c r="L101" s="464"/>
      <c r="M101" s="476"/>
      <c r="N101" s="467"/>
      <c r="O101" s="464"/>
      <c r="P101" s="464"/>
    </row>
    <row r="102" spans="1:16" ht="18.75" x14ac:dyDescent="0.25">
      <c r="A102" s="464"/>
      <c r="B102" s="464"/>
      <c r="C102" s="467"/>
      <c r="D102" s="464"/>
      <c r="H102" s="464"/>
      <c r="L102" s="464"/>
      <c r="M102" s="476"/>
      <c r="N102" s="467"/>
      <c r="O102" s="464"/>
      <c r="P102" s="464"/>
    </row>
    <row r="103" spans="1:16" ht="18.75" x14ac:dyDescent="0.25">
      <c r="A103" s="464"/>
      <c r="B103" s="464"/>
      <c r="C103" s="467"/>
      <c r="D103" s="464"/>
      <c r="H103" s="464"/>
      <c r="L103" s="464"/>
      <c r="M103" s="476"/>
      <c r="N103" s="467"/>
      <c r="O103" s="464"/>
      <c r="P103" s="464"/>
    </row>
    <row r="104" spans="1:16" ht="18.75" x14ac:dyDescent="0.25">
      <c r="A104" s="464"/>
      <c r="B104" s="464"/>
      <c r="C104" s="467"/>
      <c r="D104" s="464"/>
      <c r="H104" s="464"/>
      <c r="L104" s="464"/>
      <c r="M104" s="476"/>
      <c r="N104" s="467"/>
      <c r="O104" s="464"/>
      <c r="P104" s="464"/>
    </row>
    <row r="105" spans="1:16" ht="18.75" x14ac:dyDescent="0.25">
      <c r="A105" s="464"/>
      <c r="B105" s="464"/>
      <c r="C105" s="467"/>
      <c r="D105" s="464"/>
      <c r="H105" s="464"/>
      <c r="L105" s="464"/>
      <c r="M105" s="476"/>
      <c r="N105" s="467"/>
      <c r="O105" s="464"/>
      <c r="P105" s="464"/>
    </row>
    <row r="106" spans="1:16" ht="18.75" x14ac:dyDescent="0.25">
      <c r="A106" s="464"/>
      <c r="B106" s="464"/>
      <c r="C106" s="467"/>
      <c r="D106" s="464"/>
      <c r="H106" s="464"/>
      <c r="L106" s="464"/>
      <c r="M106" s="476"/>
      <c r="N106" s="467"/>
      <c r="O106" s="464"/>
      <c r="P106" s="464"/>
    </row>
    <row r="107" spans="1:16" ht="18.75" x14ac:dyDescent="0.25">
      <c r="A107" s="464"/>
      <c r="B107" s="464"/>
      <c r="C107" s="467"/>
      <c r="D107" s="464"/>
      <c r="H107" s="464"/>
      <c r="L107" s="464"/>
      <c r="M107" s="476"/>
      <c r="N107" s="467"/>
      <c r="O107" s="464"/>
      <c r="P107" s="464"/>
    </row>
    <row r="108" spans="1:16" ht="18.75" x14ac:dyDescent="0.25">
      <c r="A108" s="464"/>
      <c r="B108" s="464"/>
      <c r="C108" s="467"/>
      <c r="D108" s="464"/>
      <c r="H108" s="464"/>
      <c r="L108" s="464"/>
      <c r="M108" s="476"/>
      <c r="N108" s="467"/>
      <c r="O108" s="464"/>
      <c r="P108" s="464"/>
    </row>
    <row r="109" spans="1:16" ht="18.75" x14ac:dyDescent="0.25">
      <c r="A109" s="464"/>
      <c r="B109" s="464"/>
      <c r="C109" s="467"/>
      <c r="D109" s="464"/>
      <c r="H109" s="464"/>
      <c r="L109" s="464"/>
      <c r="M109" s="476"/>
      <c r="N109" s="467"/>
      <c r="O109" s="464"/>
      <c r="P109" s="464"/>
    </row>
    <row r="110" spans="1:16" ht="18.75" x14ac:dyDescent="0.25">
      <c r="A110" s="464"/>
      <c r="B110" s="464"/>
      <c r="C110" s="467"/>
      <c r="D110" s="464"/>
      <c r="H110" s="464"/>
      <c r="L110" s="464"/>
      <c r="M110" s="476"/>
      <c r="N110" s="467"/>
      <c r="O110" s="464"/>
      <c r="P110" s="464"/>
    </row>
    <row r="111" spans="1:16" ht="18.75" x14ac:dyDescent="0.25">
      <c r="A111" s="464"/>
      <c r="B111" s="464"/>
      <c r="C111" s="467"/>
      <c r="D111" s="464"/>
      <c r="H111" s="464"/>
      <c r="L111" s="464"/>
      <c r="M111" s="476"/>
      <c r="N111" s="467"/>
      <c r="O111" s="464"/>
      <c r="P111" s="464"/>
    </row>
    <row r="112" spans="1:16" ht="18.75" x14ac:dyDescent="0.25">
      <c r="A112" s="464"/>
      <c r="B112" s="464"/>
      <c r="C112" s="467"/>
      <c r="D112" s="464"/>
      <c r="H112" s="464"/>
      <c r="L112" s="464"/>
      <c r="M112" s="476"/>
      <c r="N112" s="467"/>
      <c r="O112" s="464"/>
      <c r="P112" s="464"/>
    </row>
    <row r="113" spans="1:16" ht="18.75" x14ac:dyDescent="0.25">
      <c r="A113" s="464"/>
      <c r="B113" s="464"/>
      <c r="C113" s="467"/>
      <c r="D113" s="464"/>
      <c r="H113" s="464"/>
      <c r="L113" s="464"/>
      <c r="M113" s="476"/>
      <c r="N113" s="467"/>
      <c r="O113" s="464"/>
      <c r="P113" s="464"/>
    </row>
    <row r="114" spans="1:16" ht="18.75" x14ac:dyDescent="0.25">
      <c r="A114" s="464"/>
      <c r="B114" s="464"/>
      <c r="C114" s="467"/>
      <c r="D114" s="464"/>
      <c r="H114" s="464"/>
      <c r="L114" s="464"/>
      <c r="M114" s="476"/>
      <c r="N114" s="467"/>
      <c r="O114" s="464"/>
      <c r="P114" s="464"/>
    </row>
    <row r="115" spans="1:16" ht="18.75" x14ac:dyDescent="0.25">
      <c r="A115" s="464"/>
      <c r="B115" s="464"/>
      <c r="C115" s="467"/>
      <c r="D115" s="464"/>
      <c r="H115" s="464"/>
      <c r="L115" s="464"/>
      <c r="M115" s="476"/>
      <c r="N115" s="467"/>
      <c r="O115" s="464"/>
      <c r="P115" s="464"/>
    </row>
    <row r="116" spans="1:16" ht="18.75" x14ac:dyDescent="0.25">
      <c r="A116" s="464"/>
      <c r="B116" s="464"/>
      <c r="C116" s="467"/>
      <c r="D116" s="464"/>
      <c r="H116" s="464"/>
      <c r="L116" s="464"/>
      <c r="M116" s="476"/>
      <c r="N116" s="467"/>
      <c r="O116" s="464"/>
      <c r="P116" s="464"/>
    </row>
    <row r="117" spans="1:16" ht="18.75" x14ac:dyDescent="0.25">
      <c r="A117" s="464"/>
      <c r="B117" s="464"/>
      <c r="C117" s="467"/>
      <c r="D117" s="464"/>
      <c r="H117" s="464"/>
      <c r="L117" s="464"/>
      <c r="M117" s="476"/>
      <c r="N117" s="467"/>
      <c r="O117" s="464"/>
      <c r="P117" s="464"/>
    </row>
    <row r="118" spans="1:16" ht="18.75" x14ac:dyDescent="0.25">
      <c r="A118" s="464"/>
      <c r="B118" s="464"/>
      <c r="C118" s="467"/>
      <c r="D118" s="464"/>
      <c r="H118" s="464"/>
      <c r="L118" s="464"/>
      <c r="M118" s="476"/>
      <c r="N118" s="467"/>
      <c r="O118" s="464"/>
      <c r="P118" s="464"/>
    </row>
    <row r="119" spans="1:16" ht="18.75" x14ac:dyDescent="0.25">
      <c r="A119" s="464"/>
      <c r="B119" s="464"/>
      <c r="C119" s="467"/>
      <c r="D119" s="464"/>
      <c r="H119" s="464"/>
      <c r="L119" s="464"/>
      <c r="M119" s="476"/>
      <c r="N119" s="467"/>
      <c r="O119" s="464"/>
      <c r="P119" s="464"/>
    </row>
    <row r="120" spans="1:16" ht="18.75" x14ac:dyDescent="0.25">
      <c r="A120" s="464"/>
      <c r="B120" s="464"/>
      <c r="C120" s="467"/>
      <c r="D120" s="464"/>
      <c r="H120" s="464"/>
      <c r="L120" s="464"/>
      <c r="M120" s="476"/>
      <c r="N120" s="467"/>
      <c r="O120" s="464"/>
      <c r="P120" s="464"/>
    </row>
    <row r="121" spans="1:16" ht="18.75" x14ac:dyDescent="0.25">
      <c r="A121" s="464"/>
      <c r="B121" s="464"/>
      <c r="C121" s="467"/>
      <c r="D121" s="464"/>
      <c r="H121" s="464"/>
      <c r="L121" s="464"/>
      <c r="M121" s="476"/>
      <c r="N121" s="467"/>
      <c r="O121" s="464"/>
      <c r="P121" s="464"/>
    </row>
    <row r="122" spans="1:16" ht="18.75" x14ac:dyDescent="0.25">
      <c r="A122" s="464"/>
      <c r="B122" s="464"/>
      <c r="C122" s="467"/>
      <c r="D122" s="464"/>
      <c r="H122" s="464"/>
      <c r="L122" s="464"/>
      <c r="M122" s="476"/>
      <c r="N122" s="467"/>
      <c r="O122" s="464"/>
      <c r="P122" s="464"/>
    </row>
    <row r="123" spans="1:16" ht="18.75" x14ac:dyDescent="0.25">
      <c r="A123" s="464"/>
      <c r="B123" s="464"/>
      <c r="C123" s="467"/>
      <c r="D123" s="464"/>
      <c r="H123" s="464"/>
      <c r="L123" s="464"/>
      <c r="M123" s="476"/>
      <c r="N123" s="467"/>
      <c r="O123" s="464"/>
      <c r="P123" s="464"/>
    </row>
    <row r="124" spans="1:16" ht="18.75" x14ac:dyDescent="0.25">
      <c r="A124" s="464"/>
      <c r="B124" s="464"/>
      <c r="C124" s="467"/>
      <c r="D124" s="464"/>
      <c r="H124" s="464"/>
      <c r="L124" s="464"/>
      <c r="M124" s="476"/>
      <c r="N124" s="467"/>
      <c r="O124" s="464"/>
      <c r="P124" s="464"/>
    </row>
    <row r="125" spans="1:16" ht="18.75" x14ac:dyDescent="0.25">
      <c r="A125" s="464"/>
      <c r="B125" s="464"/>
      <c r="C125" s="467"/>
      <c r="D125" s="464"/>
      <c r="H125" s="464"/>
      <c r="L125" s="464"/>
      <c r="M125" s="476"/>
      <c r="N125" s="467"/>
      <c r="O125" s="464"/>
      <c r="P125" s="464"/>
    </row>
  </sheetData>
  <autoFilter ref="A1:P26" xr:uid="{1EB8CDE3-4AD9-B04E-9B79-66065F1A2326}">
    <filterColumn colId="0" showButton="0"/>
  </autoFilter>
  <mergeCells count="343">
    <mergeCell ref="K31:L31"/>
    <mergeCell ref="K32:L32"/>
    <mergeCell ref="K33:L33"/>
    <mergeCell ref="K34:L34"/>
    <mergeCell ref="A37:B37"/>
    <mergeCell ref="G37:H37"/>
    <mergeCell ref="A38:B38"/>
    <mergeCell ref="G38:H38"/>
    <mergeCell ref="A35:B35"/>
    <mergeCell ref="G35:H35"/>
    <mergeCell ref="A36:B36"/>
    <mergeCell ref="G36:H36"/>
    <mergeCell ref="C35:D35"/>
    <mergeCell ref="C36:D36"/>
    <mergeCell ref="C37:D37"/>
    <mergeCell ref="C38:D38"/>
    <mergeCell ref="K35:L35"/>
    <mergeCell ref="K36:L36"/>
    <mergeCell ref="K37:L37"/>
    <mergeCell ref="K38:L38"/>
    <mergeCell ref="I35:J35"/>
    <mergeCell ref="I36:J36"/>
    <mergeCell ref="I37:J37"/>
    <mergeCell ref="I38:J38"/>
    <mergeCell ref="I29:J29"/>
    <mergeCell ref="I30:J30"/>
    <mergeCell ref="A33:B33"/>
    <mergeCell ref="G33:H33"/>
    <mergeCell ref="A34:B34"/>
    <mergeCell ref="G34:H34"/>
    <mergeCell ref="A31:B31"/>
    <mergeCell ref="G31:H31"/>
    <mergeCell ref="A32:B32"/>
    <mergeCell ref="G32:H32"/>
    <mergeCell ref="C31:D31"/>
    <mergeCell ref="C32:D32"/>
    <mergeCell ref="C33:D33"/>
    <mergeCell ref="C34:D34"/>
    <mergeCell ref="A29:B29"/>
    <mergeCell ref="G29:H29"/>
    <mergeCell ref="A30:B30"/>
    <mergeCell ref="G30:H30"/>
    <mergeCell ref="E31:F31"/>
    <mergeCell ref="E32:F32"/>
    <mergeCell ref="E33:F33"/>
    <mergeCell ref="E34:F34"/>
    <mergeCell ref="A27:B27"/>
    <mergeCell ref="G27:H27"/>
    <mergeCell ref="A28:B28"/>
    <mergeCell ref="G28:H28"/>
    <mergeCell ref="C27:D27"/>
    <mergeCell ref="C28:D28"/>
    <mergeCell ref="C29:D29"/>
    <mergeCell ref="C30:D30"/>
    <mergeCell ref="A25:B25"/>
    <mergeCell ref="G25:H25"/>
    <mergeCell ref="A26:B26"/>
    <mergeCell ref="G26:H26"/>
    <mergeCell ref="A23:B23"/>
    <mergeCell ref="G23:H23"/>
    <mergeCell ref="A24:B24"/>
    <mergeCell ref="G24:H24"/>
    <mergeCell ref="C23:D23"/>
    <mergeCell ref="C24:D24"/>
    <mergeCell ref="C25:D25"/>
    <mergeCell ref="C26:D26"/>
    <mergeCell ref="A21:B21"/>
    <mergeCell ref="G21:H21"/>
    <mergeCell ref="A22:B22"/>
    <mergeCell ref="G22:H22"/>
    <mergeCell ref="A19:B19"/>
    <mergeCell ref="G19:H19"/>
    <mergeCell ref="A20:B20"/>
    <mergeCell ref="G20:H20"/>
    <mergeCell ref="C19:D19"/>
    <mergeCell ref="C20:D20"/>
    <mergeCell ref="C21:D21"/>
    <mergeCell ref="C22:D22"/>
    <mergeCell ref="A17:B17"/>
    <mergeCell ref="G17:H17"/>
    <mergeCell ref="A18:B18"/>
    <mergeCell ref="G18:H18"/>
    <mergeCell ref="A15:B15"/>
    <mergeCell ref="G15:H15"/>
    <mergeCell ref="A16:B16"/>
    <mergeCell ref="G16:H16"/>
    <mergeCell ref="C15:D15"/>
    <mergeCell ref="C16:D16"/>
    <mergeCell ref="C17:D17"/>
    <mergeCell ref="C18:D18"/>
    <mergeCell ref="A13:B13"/>
    <mergeCell ref="G13:H13"/>
    <mergeCell ref="A14:B14"/>
    <mergeCell ref="G14:H14"/>
    <mergeCell ref="A11:B11"/>
    <mergeCell ref="G11:H11"/>
    <mergeCell ref="A12:B12"/>
    <mergeCell ref="G12:H12"/>
    <mergeCell ref="C13:D13"/>
    <mergeCell ref="C14:D14"/>
    <mergeCell ref="A9:B9"/>
    <mergeCell ref="G9:H9"/>
    <mergeCell ref="A10:B10"/>
    <mergeCell ref="G10:H10"/>
    <mergeCell ref="C10:D10"/>
    <mergeCell ref="C11:D11"/>
    <mergeCell ref="C12:D12"/>
    <mergeCell ref="A1:B1"/>
    <mergeCell ref="D2:M7"/>
    <mergeCell ref="O2:P7"/>
    <mergeCell ref="A8:D8"/>
    <mergeCell ref="E8:H8"/>
    <mergeCell ref="I8:L8"/>
    <mergeCell ref="M8:P8"/>
    <mergeCell ref="C9:D9"/>
    <mergeCell ref="E9:F9"/>
    <mergeCell ref="I9:J9"/>
    <mergeCell ref="K9:L9"/>
    <mergeCell ref="M9:N9"/>
    <mergeCell ref="O9:P9"/>
    <mergeCell ref="C48:D48"/>
    <mergeCell ref="C49:D49"/>
    <mergeCell ref="C50:D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31:J31"/>
    <mergeCell ref="I32:J32"/>
    <mergeCell ref="I33:J33"/>
    <mergeCell ref="I34:J34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5:F35"/>
    <mergeCell ref="E36:F36"/>
    <mergeCell ref="E37:F37"/>
    <mergeCell ref="E38:F38"/>
    <mergeCell ref="E39:F39"/>
    <mergeCell ref="E40:F40"/>
    <mergeCell ref="E50:F5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A179-891C-4C53-BDA4-FD0CC0161FDA}">
  <dimension ref="A1:AG125"/>
  <sheetViews>
    <sheetView topLeftCell="A3" workbookViewId="0">
      <selection activeCell="D21" sqref="D21:E21"/>
    </sheetView>
  </sheetViews>
  <sheetFormatPr defaultColWidth="0" defaultRowHeight="15" x14ac:dyDescent="0.2"/>
  <cols>
    <col min="1" max="3" width="8.7421875" style="401" customWidth="1"/>
    <col min="4" max="5" width="9.14453125" style="400" customWidth="1"/>
    <col min="6" max="6" width="9.14453125" style="401" customWidth="1"/>
    <col min="7" max="8" width="9.14453125" style="400" customWidth="1"/>
    <col min="9" max="9" width="9.14453125" style="401" customWidth="1"/>
    <col min="10" max="10" width="10.35546875" style="401" customWidth="1"/>
    <col min="11" max="12" width="9.14453125" style="401" customWidth="1"/>
    <col min="13" max="13" width="0" hidden="1" customWidth="1"/>
  </cols>
  <sheetData>
    <row r="1" spans="1:33" ht="15" customHeight="1" x14ac:dyDescent="0.2">
      <c r="A1" s="692" t="str">
        <f>HYPERLINK("#'Table of Contents'!A1", "🏠 Return")</f>
        <v>🏠 Return</v>
      </c>
      <c r="B1" s="693"/>
      <c r="C1" s="399"/>
      <c r="D1" s="399"/>
      <c r="E1" s="399"/>
      <c r="F1" s="399"/>
      <c r="G1" s="399"/>
      <c r="H1" s="399"/>
      <c r="I1" s="399"/>
      <c r="J1" s="399"/>
      <c r="K1" s="444"/>
      <c r="L1" s="444"/>
      <c r="M1" s="398"/>
      <c r="N1" s="398"/>
      <c r="O1" s="398"/>
      <c r="P1" s="398"/>
      <c r="Q1" s="398"/>
      <c r="R1" s="398"/>
    </row>
    <row r="2" spans="1:33" ht="15" customHeight="1" x14ac:dyDescent="0.2">
      <c r="A2" s="398"/>
      <c r="B2" s="328"/>
      <c r="C2" s="523" t="s">
        <v>134</v>
      </c>
      <c r="D2" s="523"/>
      <c r="E2" s="523"/>
      <c r="F2" s="523"/>
      <c r="G2" s="523"/>
      <c r="H2" s="523"/>
      <c r="I2" s="523"/>
      <c r="J2" s="523"/>
      <c r="K2" s="694" t="s">
        <v>1</v>
      </c>
      <c r="L2" s="694"/>
      <c r="M2" s="398"/>
      <c r="N2" s="398"/>
      <c r="O2" s="398"/>
      <c r="P2" s="398"/>
      <c r="Q2" s="398"/>
      <c r="R2" s="398"/>
    </row>
    <row r="3" spans="1:33" ht="15" customHeight="1" x14ac:dyDescent="0.2">
      <c r="A3" s="398"/>
      <c r="B3" s="399"/>
      <c r="C3" s="523"/>
      <c r="D3" s="523"/>
      <c r="E3" s="523"/>
      <c r="F3" s="523"/>
      <c r="G3" s="523"/>
      <c r="H3" s="523"/>
      <c r="I3" s="523"/>
      <c r="J3" s="523"/>
      <c r="K3" s="694"/>
      <c r="L3" s="694"/>
      <c r="M3" s="398"/>
      <c r="N3" s="398"/>
      <c r="O3" s="398"/>
      <c r="P3" s="398"/>
      <c r="Q3" s="398"/>
      <c r="R3" s="398"/>
    </row>
    <row r="4" spans="1:33" ht="15" customHeight="1" x14ac:dyDescent="0.2">
      <c r="A4" s="398"/>
      <c r="B4" s="399"/>
      <c r="C4" s="523"/>
      <c r="D4" s="523"/>
      <c r="E4" s="523"/>
      <c r="F4" s="523"/>
      <c r="G4" s="523"/>
      <c r="H4" s="523"/>
      <c r="I4" s="523"/>
      <c r="J4" s="523"/>
      <c r="K4" s="694"/>
      <c r="L4" s="694"/>
      <c r="M4" s="398"/>
      <c r="N4" s="398"/>
      <c r="O4" s="398"/>
      <c r="P4" s="398"/>
      <c r="Q4" s="398"/>
      <c r="R4" s="398"/>
    </row>
    <row r="5" spans="1:33" ht="15" customHeight="1" x14ac:dyDescent="0.2">
      <c r="A5" s="398"/>
      <c r="B5" s="399"/>
      <c r="C5" s="523"/>
      <c r="D5" s="523"/>
      <c r="E5" s="523"/>
      <c r="F5" s="523"/>
      <c r="G5" s="523"/>
      <c r="H5" s="523"/>
      <c r="I5" s="523"/>
      <c r="J5" s="523"/>
      <c r="K5" s="694"/>
      <c r="L5" s="694"/>
      <c r="M5" s="398"/>
      <c r="N5" s="398"/>
      <c r="O5" s="398"/>
      <c r="P5" s="398"/>
      <c r="Q5" s="398"/>
      <c r="R5" s="398"/>
    </row>
    <row r="6" spans="1:33" ht="15" customHeight="1" x14ac:dyDescent="0.2">
      <c r="A6" s="398"/>
      <c r="B6" s="399"/>
      <c r="C6" s="523"/>
      <c r="D6" s="523"/>
      <c r="E6" s="523"/>
      <c r="F6" s="523"/>
      <c r="G6" s="523"/>
      <c r="H6" s="523"/>
      <c r="I6" s="523"/>
      <c r="J6" s="523"/>
      <c r="K6" s="694"/>
      <c r="L6" s="694"/>
      <c r="M6" s="398"/>
      <c r="N6" s="398"/>
      <c r="O6" s="398"/>
      <c r="P6" s="398"/>
      <c r="Q6" s="398"/>
      <c r="R6" s="398"/>
    </row>
    <row r="7" spans="1:33" ht="15" customHeight="1" x14ac:dyDescent="0.2">
      <c r="A7" s="399"/>
      <c r="B7" s="399"/>
      <c r="C7" s="523"/>
      <c r="D7" s="523"/>
      <c r="E7" s="523"/>
      <c r="F7" s="523"/>
      <c r="G7" s="523"/>
      <c r="H7" s="523"/>
      <c r="I7" s="523"/>
      <c r="J7" s="523"/>
      <c r="K7" s="694"/>
      <c r="L7" s="694"/>
      <c r="M7" s="398"/>
      <c r="N7" s="398"/>
      <c r="O7" s="398"/>
      <c r="P7" s="398"/>
      <c r="Q7" s="398"/>
      <c r="R7" s="398"/>
    </row>
    <row r="8" spans="1:33" ht="15" customHeight="1" x14ac:dyDescent="0.2">
      <c r="A8" s="718" t="s">
        <v>135</v>
      </c>
      <c r="B8" s="718"/>
      <c r="C8" s="441"/>
      <c r="D8" s="721" t="s">
        <v>136</v>
      </c>
      <c r="E8" s="722"/>
      <c r="F8" s="442"/>
      <c r="G8" s="723" t="s">
        <v>137</v>
      </c>
      <c r="H8" s="724"/>
      <c r="I8" s="442"/>
      <c r="J8" s="722" t="s">
        <v>138</v>
      </c>
      <c r="K8" s="722"/>
      <c r="L8" s="443"/>
      <c r="M8" s="398"/>
      <c r="N8" s="398"/>
      <c r="O8" s="398"/>
      <c r="P8" s="398"/>
      <c r="Q8" s="398"/>
      <c r="R8" s="398"/>
    </row>
    <row r="9" spans="1:33" ht="15" customHeight="1" x14ac:dyDescent="0.2">
      <c r="A9" s="711" t="s">
        <v>118</v>
      </c>
      <c r="B9" s="711"/>
      <c r="C9" s="435"/>
      <c r="D9" s="711" t="s">
        <v>121</v>
      </c>
      <c r="E9" s="711"/>
      <c r="F9" s="436"/>
      <c r="G9" s="709" t="s">
        <v>70</v>
      </c>
      <c r="H9" s="709"/>
      <c r="I9" s="436"/>
      <c r="J9" s="712" t="s">
        <v>77</v>
      </c>
      <c r="K9" s="712"/>
      <c r="L9" s="426"/>
      <c r="M9" s="398"/>
      <c r="N9" s="398"/>
      <c r="O9" s="398"/>
      <c r="P9" s="398"/>
      <c r="Q9" s="398"/>
      <c r="R9" s="398"/>
      <c r="U9" s="393"/>
    </row>
    <row r="10" spans="1:33" ht="15" customHeight="1" x14ac:dyDescent="0.2">
      <c r="A10" s="709" t="s">
        <v>119</v>
      </c>
      <c r="B10" s="709"/>
      <c r="C10" s="437"/>
      <c r="D10" s="709" t="s">
        <v>123</v>
      </c>
      <c r="E10" s="709"/>
      <c r="F10" s="436"/>
      <c r="G10" s="719" t="s">
        <v>84</v>
      </c>
      <c r="H10" s="720"/>
      <c r="I10" s="438"/>
      <c r="J10" s="713" t="s">
        <v>79</v>
      </c>
      <c r="K10" s="713"/>
      <c r="L10" s="426"/>
      <c r="M10" s="398"/>
      <c r="N10" s="398"/>
      <c r="O10" s="398"/>
      <c r="P10" s="398"/>
      <c r="Q10" s="398"/>
      <c r="R10" s="398"/>
    </row>
    <row r="11" spans="1:33" ht="15" customHeight="1" x14ac:dyDescent="0.2">
      <c r="A11" s="709" t="s">
        <v>120</v>
      </c>
      <c r="B11" s="709"/>
      <c r="C11" s="435"/>
      <c r="D11" s="709" t="s">
        <v>127</v>
      </c>
      <c r="E11" s="709"/>
      <c r="F11" s="435"/>
      <c r="G11" s="709" t="s">
        <v>64</v>
      </c>
      <c r="H11" s="709"/>
      <c r="I11" s="435"/>
      <c r="J11" s="709" t="s">
        <v>106</v>
      </c>
      <c r="K11" s="709"/>
      <c r="L11" s="426"/>
      <c r="M11" s="398"/>
      <c r="N11" s="398"/>
      <c r="O11" s="398"/>
      <c r="P11" s="398"/>
      <c r="Q11" s="398"/>
      <c r="R11" s="398"/>
      <c r="AG11" s="393"/>
    </row>
    <row r="12" spans="1:33" ht="15" customHeight="1" x14ac:dyDescent="0.2">
      <c r="A12" s="709"/>
      <c r="B12" s="709"/>
      <c r="C12" s="435"/>
      <c r="D12" s="709" t="s">
        <v>128</v>
      </c>
      <c r="E12" s="709"/>
      <c r="F12" s="435"/>
      <c r="G12" s="709" t="s">
        <v>104</v>
      </c>
      <c r="H12" s="709"/>
      <c r="I12" s="435"/>
      <c r="J12" s="714" t="s">
        <v>131</v>
      </c>
      <c r="K12" s="714"/>
      <c r="L12" s="446"/>
      <c r="M12" s="446"/>
      <c r="N12" s="446"/>
      <c r="O12" s="446"/>
      <c r="P12" s="398"/>
      <c r="Q12" s="398"/>
      <c r="R12" s="398"/>
      <c r="AG12" s="393"/>
    </row>
    <row r="13" spans="1:33" x14ac:dyDescent="0.2">
      <c r="A13" s="709"/>
      <c r="B13" s="709"/>
      <c r="C13" s="435"/>
      <c r="D13" s="709" t="s">
        <v>124</v>
      </c>
      <c r="E13" s="709"/>
      <c r="F13" s="435"/>
      <c r="G13" s="709" t="s">
        <v>73</v>
      </c>
      <c r="H13" s="709"/>
      <c r="I13" s="435"/>
      <c r="J13" s="714" t="s">
        <v>132</v>
      </c>
      <c r="K13" s="714"/>
      <c r="L13" s="446"/>
      <c r="M13" s="446"/>
      <c r="N13" s="446"/>
      <c r="O13" s="446"/>
      <c r="P13" s="401"/>
      <c r="Q13" s="401"/>
      <c r="R13" s="401"/>
      <c r="S13" s="401"/>
      <c r="T13" s="401"/>
      <c r="U13" s="401"/>
      <c r="AG13" s="393"/>
    </row>
    <row r="14" spans="1:33" x14ac:dyDescent="0.2">
      <c r="A14" s="710"/>
      <c r="B14" s="710"/>
      <c r="C14" s="439"/>
      <c r="D14" s="710"/>
      <c r="E14" s="710"/>
      <c r="F14" s="439"/>
      <c r="G14" s="710" t="s">
        <v>94</v>
      </c>
      <c r="H14" s="710"/>
      <c r="I14" s="439"/>
      <c r="J14" s="715" t="s">
        <v>82</v>
      </c>
      <c r="K14" s="715"/>
      <c r="L14" s="446"/>
      <c r="M14" s="446"/>
      <c r="N14" s="446"/>
      <c r="O14" s="446"/>
    </row>
    <row r="15" spans="1:33" x14ac:dyDescent="0.2">
      <c r="A15" s="708"/>
      <c r="B15" s="708"/>
      <c r="C15" s="435"/>
      <c r="D15" s="709"/>
      <c r="E15" s="709"/>
      <c r="F15" s="435"/>
      <c r="G15" s="709" t="s">
        <v>139</v>
      </c>
      <c r="H15" s="709"/>
      <c r="I15" s="435"/>
      <c r="J15" s="715" t="s">
        <v>100</v>
      </c>
      <c r="K15" s="715"/>
      <c r="L15" s="446"/>
      <c r="M15" s="446"/>
      <c r="N15" s="446"/>
      <c r="O15" s="446"/>
    </row>
    <row r="16" spans="1:33" x14ac:dyDescent="0.2">
      <c r="A16" s="708"/>
      <c r="B16" s="708"/>
      <c r="C16" s="435"/>
      <c r="D16" s="709"/>
      <c r="E16" s="709"/>
      <c r="F16" s="435"/>
      <c r="G16" s="709" t="s">
        <v>96</v>
      </c>
      <c r="H16" s="709"/>
      <c r="I16" s="435"/>
      <c r="J16" s="715" t="s">
        <v>99</v>
      </c>
      <c r="K16" s="715"/>
      <c r="L16" s="446"/>
      <c r="M16" s="446"/>
      <c r="N16" s="446"/>
      <c r="O16" s="446"/>
    </row>
    <row r="17" spans="1:15" x14ac:dyDescent="0.2">
      <c r="A17" s="708"/>
      <c r="B17" s="708"/>
      <c r="C17" s="435"/>
      <c r="D17" s="709"/>
      <c r="E17" s="709"/>
      <c r="F17" s="435"/>
      <c r="G17" s="709" t="s">
        <v>75</v>
      </c>
      <c r="H17" s="709"/>
      <c r="I17" s="435"/>
      <c r="J17" s="715" t="s">
        <v>111</v>
      </c>
      <c r="K17" s="715"/>
      <c r="L17" s="446"/>
      <c r="M17" s="446"/>
      <c r="N17" s="446"/>
      <c r="O17" s="446"/>
    </row>
    <row r="18" spans="1:15" x14ac:dyDescent="0.2">
      <c r="A18" s="709"/>
      <c r="B18" s="709"/>
      <c r="C18" s="435"/>
      <c r="D18" s="709"/>
      <c r="E18" s="709"/>
      <c r="F18" s="435"/>
      <c r="G18" s="709"/>
      <c r="H18" s="709"/>
      <c r="I18" s="435"/>
      <c r="J18" s="715" t="s">
        <v>97</v>
      </c>
      <c r="K18" s="715"/>
      <c r="L18" s="446"/>
      <c r="M18" s="446"/>
      <c r="N18" s="446"/>
      <c r="O18" s="446"/>
    </row>
    <row r="19" spans="1:15" x14ac:dyDescent="0.2">
      <c r="A19" s="710"/>
      <c r="B19" s="710"/>
      <c r="C19" s="439"/>
      <c r="D19" s="710"/>
      <c r="E19" s="710"/>
      <c r="F19" s="439"/>
      <c r="G19" s="710"/>
      <c r="H19" s="710"/>
      <c r="I19" s="439"/>
      <c r="J19" s="715" t="s">
        <v>98</v>
      </c>
      <c r="K19" s="715"/>
      <c r="L19" s="446"/>
      <c r="M19" s="446"/>
      <c r="N19" s="446"/>
      <c r="O19" s="446"/>
    </row>
    <row r="20" spans="1:15" x14ac:dyDescent="0.2">
      <c r="A20" s="709"/>
      <c r="B20" s="709"/>
      <c r="C20" s="435"/>
      <c r="D20" s="709"/>
      <c r="E20" s="709"/>
      <c r="F20" s="435"/>
      <c r="G20" s="709"/>
      <c r="H20" s="709"/>
      <c r="I20" s="435"/>
      <c r="J20" s="715" t="s">
        <v>133</v>
      </c>
      <c r="K20" s="715"/>
      <c r="L20" s="446"/>
      <c r="M20" s="446"/>
      <c r="N20" s="446"/>
      <c r="O20" s="446"/>
    </row>
    <row r="21" spans="1:15" x14ac:dyDescent="0.2">
      <c r="A21" s="709"/>
      <c r="B21" s="709"/>
      <c r="C21" s="435"/>
      <c r="D21" s="709"/>
      <c r="E21" s="709"/>
      <c r="F21" s="435"/>
      <c r="G21" s="709"/>
      <c r="H21" s="709"/>
      <c r="I21" s="435"/>
      <c r="J21" s="715" t="s">
        <v>90</v>
      </c>
      <c r="K21" s="715"/>
      <c r="L21" s="446"/>
      <c r="M21" s="446"/>
      <c r="N21" s="446"/>
      <c r="O21" s="446"/>
    </row>
    <row r="22" spans="1:15" x14ac:dyDescent="0.2">
      <c r="A22" s="709"/>
      <c r="B22" s="709"/>
      <c r="C22" s="435"/>
      <c r="D22" s="709"/>
      <c r="E22" s="709"/>
      <c r="F22" s="435"/>
      <c r="G22" s="709"/>
      <c r="H22" s="709"/>
      <c r="I22" s="435"/>
      <c r="J22" s="715" t="s">
        <v>92</v>
      </c>
      <c r="K22" s="715"/>
      <c r="L22" s="446"/>
      <c r="M22" s="446"/>
      <c r="N22" s="446"/>
      <c r="O22" s="446"/>
    </row>
    <row r="23" spans="1:15" x14ac:dyDescent="0.2">
      <c r="A23" s="709"/>
      <c r="B23" s="709"/>
      <c r="C23" s="435"/>
      <c r="D23" s="709"/>
      <c r="E23" s="709"/>
      <c r="F23" s="435"/>
      <c r="G23" s="709"/>
      <c r="H23" s="709"/>
      <c r="I23" s="435"/>
      <c r="J23" s="715" t="s">
        <v>109</v>
      </c>
      <c r="K23" s="715"/>
      <c r="L23" s="446"/>
      <c r="M23" s="446"/>
      <c r="N23" s="446"/>
      <c r="O23" s="446"/>
    </row>
    <row r="24" spans="1:15" x14ac:dyDescent="0.2">
      <c r="A24" s="710"/>
      <c r="B24" s="710"/>
      <c r="C24" s="439"/>
      <c r="D24" s="710"/>
      <c r="E24" s="710"/>
      <c r="F24" s="439"/>
      <c r="G24" s="710"/>
      <c r="H24" s="710"/>
      <c r="I24" s="439"/>
      <c r="J24" s="715" t="s">
        <v>101</v>
      </c>
      <c r="K24" s="715"/>
      <c r="L24" s="446"/>
      <c r="M24" s="446"/>
      <c r="N24" s="446"/>
      <c r="O24" s="446"/>
    </row>
    <row r="25" spans="1:15" x14ac:dyDescent="0.2">
      <c r="A25" s="709"/>
      <c r="B25" s="709"/>
      <c r="C25" s="435"/>
      <c r="D25" s="709"/>
      <c r="E25" s="709"/>
      <c r="F25" s="435"/>
      <c r="G25" s="709"/>
      <c r="H25" s="709"/>
      <c r="I25" s="435"/>
      <c r="J25" s="715" t="s">
        <v>102</v>
      </c>
      <c r="K25" s="715"/>
      <c r="L25" s="446"/>
      <c r="M25" s="446"/>
      <c r="N25" s="446"/>
      <c r="O25" s="446"/>
    </row>
    <row r="26" spans="1:15" x14ac:dyDescent="0.2">
      <c r="A26" s="709"/>
      <c r="B26" s="709"/>
      <c r="C26" s="435"/>
      <c r="D26" s="709"/>
      <c r="E26" s="709"/>
      <c r="F26" s="435"/>
      <c r="G26" s="709"/>
      <c r="H26" s="709"/>
      <c r="I26" s="435"/>
      <c r="J26" s="715" t="s">
        <v>113</v>
      </c>
      <c r="K26" s="715"/>
      <c r="L26" s="446"/>
      <c r="M26" s="446"/>
      <c r="N26" s="446"/>
      <c r="O26" s="446"/>
    </row>
    <row r="27" spans="1:15" x14ac:dyDescent="0.2">
      <c r="A27" s="709"/>
      <c r="B27" s="709"/>
      <c r="C27" s="435"/>
      <c r="D27" s="709"/>
      <c r="E27" s="709"/>
      <c r="F27" s="435"/>
      <c r="G27" s="709"/>
      <c r="H27" s="709"/>
      <c r="I27" s="435"/>
      <c r="J27" s="717"/>
      <c r="K27" s="717"/>
      <c r="L27" s="446"/>
      <c r="M27" s="446"/>
      <c r="N27" s="446"/>
      <c r="O27" s="446"/>
    </row>
    <row r="28" spans="1:15" x14ac:dyDescent="0.2">
      <c r="A28" s="709"/>
      <c r="B28" s="709"/>
      <c r="C28" s="435"/>
      <c r="D28" s="709"/>
      <c r="E28" s="709"/>
      <c r="F28" s="435"/>
      <c r="G28" s="709"/>
      <c r="H28" s="709"/>
      <c r="I28" s="435"/>
      <c r="J28" s="717"/>
      <c r="K28" s="717"/>
      <c r="L28" s="446"/>
      <c r="M28" s="446"/>
      <c r="N28" s="446"/>
      <c r="O28" s="446"/>
    </row>
    <row r="29" spans="1:15" x14ac:dyDescent="0.2">
      <c r="A29" s="710"/>
      <c r="B29" s="710"/>
      <c r="C29" s="439"/>
      <c r="D29" s="710"/>
      <c r="E29" s="710"/>
      <c r="F29" s="439"/>
      <c r="G29" s="710"/>
      <c r="H29" s="710"/>
      <c r="I29" s="439"/>
      <c r="J29" s="717"/>
      <c r="K29" s="717"/>
      <c r="L29" s="446"/>
      <c r="M29" s="446"/>
      <c r="N29" s="446"/>
      <c r="O29" s="446"/>
    </row>
    <row r="30" spans="1:15" ht="18.75" x14ac:dyDescent="0.25">
      <c r="A30" s="709"/>
      <c r="B30" s="709"/>
      <c r="C30" s="435"/>
      <c r="D30" s="709"/>
      <c r="E30" s="709"/>
      <c r="F30" s="435"/>
      <c r="G30" s="709"/>
      <c r="H30" s="709"/>
      <c r="I30" s="435"/>
      <c r="J30" s="716"/>
      <c r="K30" s="716"/>
      <c r="L30" s="434"/>
    </row>
    <row r="31" spans="1:15" ht="18.75" x14ac:dyDescent="0.25">
      <c r="A31" s="709"/>
      <c r="B31" s="709"/>
      <c r="C31" s="435"/>
      <c r="D31" s="709"/>
      <c r="E31" s="709"/>
      <c r="F31" s="435"/>
      <c r="G31" s="709"/>
      <c r="H31" s="709"/>
      <c r="I31" s="435"/>
      <c r="J31" s="716"/>
      <c r="K31" s="716"/>
      <c r="L31" s="434"/>
    </row>
    <row r="32" spans="1:15" ht="18.75" x14ac:dyDescent="0.25">
      <c r="A32" s="709"/>
      <c r="B32" s="709"/>
      <c r="C32" s="435"/>
      <c r="D32" s="709"/>
      <c r="E32" s="709"/>
      <c r="F32" s="435"/>
      <c r="G32" s="709"/>
      <c r="H32" s="709"/>
      <c r="I32" s="435"/>
      <c r="J32" s="716"/>
      <c r="K32" s="716"/>
      <c r="L32" s="434"/>
    </row>
    <row r="33" spans="1:12" ht="18.75" x14ac:dyDescent="0.25">
      <c r="A33" s="709"/>
      <c r="B33" s="709"/>
      <c r="C33" s="435"/>
      <c r="D33" s="709"/>
      <c r="E33" s="709"/>
      <c r="F33" s="435"/>
      <c r="G33" s="709"/>
      <c r="H33" s="709"/>
      <c r="I33" s="435"/>
      <c r="J33" s="716"/>
      <c r="K33" s="716"/>
      <c r="L33" s="434"/>
    </row>
    <row r="34" spans="1:12" ht="18.75" x14ac:dyDescent="0.25">
      <c r="A34" s="707"/>
      <c r="B34" s="707"/>
      <c r="C34" s="440"/>
      <c r="D34" s="707"/>
      <c r="E34" s="707"/>
      <c r="F34" s="440"/>
      <c r="G34" s="707"/>
      <c r="H34" s="707"/>
      <c r="I34" s="440"/>
      <c r="J34" s="716"/>
      <c r="K34" s="716"/>
      <c r="L34" s="402"/>
    </row>
    <row r="35" spans="1:12" ht="18.75" x14ac:dyDescent="0.25">
      <c r="A35" s="707"/>
      <c r="B35" s="707"/>
      <c r="C35" s="440"/>
      <c r="D35" s="707"/>
      <c r="E35" s="707"/>
      <c r="F35" s="440"/>
      <c r="G35" s="707"/>
      <c r="H35" s="707"/>
      <c r="I35" s="440"/>
      <c r="K35" s="440"/>
      <c r="L35" s="402"/>
    </row>
    <row r="36" spans="1:12" ht="18.75" x14ac:dyDescent="0.25">
      <c r="A36" s="707"/>
      <c r="B36" s="707"/>
      <c r="C36" s="440"/>
      <c r="D36" s="707"/>
      <c r="E36" s="707"/>
      <c r="F36" s="440"/>
      <c r="G36" s="707"/>
      <c r="H36" s="707"/>
      <c r="I36" s="440"/>
      <c r="K36" s="440"/>
      <c r="L36" s="402"/>
    </row>
    <row r="37" spans="1:12" ht="31.5" customHeight="1" x14ac:dyDescent="0.25">
      <c r="A37" s="707"/>
      <c r="B37" s="707"/>
      <c r="C37" s="440"/>
      <c r="D37" s="707"/>
      <c r="E37" s="707"/>
      <c r="F37" s="440"/>
      <c r="G37" s="707"/>
      <c r="H37" s="707"/>
      <c r="I37" s="440"/>
      <c r="K37" s="440"/>
      <c r="L37" s="402"/>
    </row>
    <row r="38" spans="1:12" ht="18.75" x14ac:dyDescent="0.25">
      <c r="A38" s="707"/>
      <c r="B38" s="707"/>
      <c r="C38" s="440"/>
      <c r="D38" s="707"/>
      <c r="E38" s="707"/>
      <c r="F38" s="440"/>
      <c r="G38" s="707"/>
      <c r="H38" s="707"/>
      <c r="I38" s="440"/>
      <c r="K38" s="440"/>
      <c r="L38" s="402"/>
    </row>
    <row r="39" spans="1:12" ht="18.75" x14ac:dyDescent="0.25">
      <c r="A39" s="402"/>
      <c r="B39" s="402"/>
      <c r="C39" s="402"/>
      <c r="D39" s="445"/>
      <c r="E39" s="445"/>
      <c r="F39" s="402"/>
      <c r="G39" s="445"/>
      <c r="H39" s="445"/>
      <c r="I39" s="402"/>
      <c r="K39" s="402"/>
      <c r="L39" s="402"/>
    </row>
    <row r="40" spans="1:12" ht="18.75" x14ac:dyDescent="0.25">
      <c r="A40" s="402"/>
      <c r="B40" s="402"/>
      <c r="C40" s="402"/>
      <c r="D40" s="445"/>
      <c r="E40" s="445"/>
      <c r="F40" s="402"/>
      <c r="I40" s="402"/>
      <c r="K40" s="402"/>
      <c r="L40" s="402"/>
    </row>
    <row r="41" spans="1:12" ht="18.75" x14ac:dyDescent="0.25">
      <c r="A41" s="402"/>
      <c r="B41" s="402"/>
      <c r="C41" s="402"/>
      <c r="D41" s="445"/>
      <c r="E41" s="445"/>
      <c r="F41" s="402"/>
      <c r="I41" s="402"/>
      <c r="K41" s="402"/>
      <c r="L41" s="402"/>
    </row>
    <row r="42" spans="1:12" ht="18.75" x14ac:dyDescent="0.25">
      <c r="A42" s="402"/>
      <c r="B42" s="402"/>
      <c r="C42" s="402"/>
      <c r="D42" s="445"/>
      <c r="E42" s="445"/>
      <c r="F42" s="402"/>
      <c r="I42" s="402"/>
      <c r="K42" s="402"/>
      <c r="L42" s="402"/>
    </row>
    <row r="43" spans="1:12" ht="18.75" x14ac:dyDescent="0.25">
      <c r="A43" s="402"/>
      <c r="B43" s="402"/>
      <c r="C43" s="402"/>
      <c r="D43" s="445"/>
      <c r="E43" s="445"/>
      <c r="F43" s="402"/>
      <c r="I43" s="402"/>
      <c r="K43" s="402"/>
      <c r="L43" s="402"/>
    </row>
    <row r="44" spans="1:12" ht="18.75" x14ac:dyDescent="0.25">
      <c r="A44" s="402"/>
      <c r="B44" s="402"/>
      <c r="C44" s="402"/>
      <c r="D44" s="445"/>
      <c r="E44" s="445"/>
      <c r="F44" s="402"/>
      <c r="I44" s="402"/>
      <c r="K44" s="402"/>
      <c r="L44" s="402"/>
    </row>
    <row r="45" spans="1:12" ht="18.75" x14ac:dyDescent="0.25">
      <c r="A45" s="402"/>
      <c r="B45" s="402"/>
      <c r="C45" s="402"/>
      <c r="D45" s="445"/>
      <c r="E45" s="445"/>
      <c r="F45" s="402"/>
      <c r="I45" s="402"/>
      <c r="K45" s="402"/>
      <c r="L45" s="402"/>
    </row>
    <row r="46" spans="1:12" ht="18.75" x14ac:dyDescent="0.25">
      <c r="A46" s="402"/>
      <c r="B46" s="402"/>
      <c r="C46" s="402"/>
      <c r="D46" s="445"/>
      <c r="E46" s="445"/>
      <c r="F46" s="402"/>
      <c r="I46" s="402"/>
      <c r="K46" s="402"/>
      <c r="L46" s="402"/>
    </row>
    <row r="47" spans="1:12" ht="18.75" x14ac:dyDescent="0.25">
      <c r="A47" s="402"/>
      <c r="B47" s="402"/>
      <c r="C47" s="402"/>
      <c r="D47" s="445"/>
      <c r="E47" s="445"/>
      <c r="F47" s="402"/>
      <c r="I47" s="402"/>
      <c r="K47" s="402"/>
      <c r="L47" s="402"/>
    </row>
    <row r="48" spans="1:12" ht="18.75" x14ac:dyDescent="0.25">
      <c r="A48" s="402"/>
      <c r="B48" s="402"/>
      <c r="C48" s="402"/>
      <c r="D48" s="445"/>
      <c r="E48" s="445"/>
      <c r="F48" s="402"/>
      <c r="I48" s="402"/>
      <c r="J48" s="402"/>
      <c r="K48" s="402"/>
      <c r="L48" s="402"/>
    </row>
    <row r="49" spans="1:12" ht="18.75" x14ac:dyDescent="0.25">
      <c r="A49" s="402"/>
      <c r="B49" s="402"/>
      <c r="C49" s="402"/>
      <c r="D49" s="445"/>
      <c r="E49" s="445"/>
      <c r="F49" s="402"/>
      <c r="I49" s="402"/>
      <c r="J49" s="402"/>
      <c r="K49" s="402"/>
      <c r="L49" s="402"/>
    </row>
    <row r="50" spans="1:12" ht="18.75" x14ac:dyDescent="0.25">
      <c r="A50" s="402"/>
      <c r="B50" s="402"/>
      <c r="C50" s="402"/>
      <c r="D50" s="445"/>
      <c r="E50" s="445"/>
      <c r="F50" s="402"/>
      <c r="I50" s="402"/>
      <c r="J50" s="402"/>
      <c r="K50" s="402"/>
      <c r="L50" s="402"/>
    </row>
    <row r="51" spans="1:12" ht="18.75" x14ac:dyDescent="0.25">
      <c r="A51" s="402"/>
      <c r="B51" s="402"/>
      <c r="C51" s="402"/>
      <c r="D51" s="445"/>
      <c r="E51" s="445"/>
      <c r="F51" s="402"/>
      <c r="I51" s="402"/>
      <c r="J51" s="402"/>
      <c r="K51" s="402"/>
      <c r="L51" s="402"/>
    </row>
    <row r="52" spans="1:12" ht="18.75" x14ac:dyDescent="0.25">
      <c r="A52" s="402"/>
      <c r="B52" s="402"/>
      <c r="C52" s="402"/>
      <c r="D52" s="445"/>
      <c r="E52" s="445"/>
      <c r="F52" s="402"/>
      <c r="I52" s="402"/>
      <c r="J52" s="402"/>
      <c r="K52" s="402"/>
      <c r="L52" s="402"/>
    </row>
    <row r="53" spans="1:12" ht="18.75" x14ac:dyDescent="0.25">
      <c r="A53" s="402"/>
      <c r="B53" s="402"/>
      <c r="C53" s="402"/>
      <c r="D53" s="445"/>
      <c r="E53" s="445"/>
      <c r="F53" s="402"/>
      <c r="I53" s="402"/>
      <c r="J53" s="402"/>
      <c r="K53" s="402"/>
      <c r="L53" s="402"/>
    </row>
    <row r="54" spans="1:12" ht="18.75" x14ac:dyDescent="0.25">
      <c r="A54" s="402"/>
      <c r="B54" s="402"/>
      <c r="C54" s="402"/>
      <c r="F54" s="402"/>
      <c r="I54" s="402"/>
      <c r="J54" s="402"/>
      <c r="K54" s="402"/>
      <c r="L54" s="402"/>
    </row>
    <row r="55" spans="1:12" ht="18.75" x14ac:dyDescent="0.25">
      <c r="A55" s="402"/>
      <c r="B55" s="402"/>
      <c r="C55" s="402"/>
      <c r="F55" s="402"/>
      <c r="I55" s="402"/>
      <c r="J55" s="402"/>
      <c r="K55" s="402"/>
      <c r="L55" s="402"/>
    </row>
    <row r="56" spans="1:12" ht="18.75" x14ac:dyDescent="0.25">
      <c r="A56" s="402"/>
      <c r="B56" s="402"/>
      <c r="C56" s="402"/>
      <c r="F56" s="402"/>
      <c r="I56" s="402"/>
      <c r="J56" s="402"/>
      <c r="K56" s="402"/>
      <c r="L56" s="402"/>
    </row>
    <row r="57" spans="1:12" ht="18.75" x14ac:dyDescent="0.25">
      <c r="A57" s="402"/>
      <c r="B57" s="402"/>
      <c r="C57" s="402"/>
      <c r="F57" s="402"/>
      <c r="I57" s="402"/>
      <c r="J57" s="402"/>
      <c r="K57" s="402"/>
      <c r="L57" s="402"/>
    </row>
    <row r="58" spans="1:12" ht="18.75" x14ac:dyDescent="0.25">
      <c r="A58" s="402"/>
      <c r="B58" s="402"/>
      <c r="C58" s="402"/>
      <c r="F58" s="402"/>
      <c r="I58" s="402"/>
      <c r="J58" s="402"/>
      <c r="K58" s="402"/>
      <c r="L58" s="402"/>
    </row>
    <row r="59" spans="1:12" ht="18.75" x14ac:dyDescent="0.25">
      <c r="A59" s="402"/>
      <c r="B59" s="402"/>
      <c r="C59" s="402"/>
      <c r="F59" s="402"/>
      <c r="I59" s="402"/>
      <c r="J59" s="402"/>
      <c r="K59" s="402"/>
      <c r="L59" s="402"/>
    </row>
    <row r="60" spans="1:12" ht="18.75" x14ac:dyDescent="0.25">
      <c r="A60" s="402"/>
      <c r="B60" s="402"/>
      <c r="C60" s="402"/>
      <c r="F60" s="402"/>
      <c r="I60" s="402"/>
      <c r="J60" s="402"/>
      <c r="K60" s="402"/>
      <c r="L60" s="402"/>
    </row>
    <row r="61" spans="1:12" ht="18.75" x14ac:dyDescent="0.25">
      <c r="A61" s="402"/>
      <c r="B61" s="402"/>
      <c r="C61" s="402"/>
      <c r="F61" s="402"/>
      <c r="I61" s="402"/>
      <c r="J61" s="402"/>
      <c r="K61" s="402"/>
      <c r="L61" s="402"/>
    </row>
    <row r="62" spans="1:12" ht="18.75" x14ac:dyDescent="0.25">
      <c r="A62" s="402"/>
      <c r="B62" s="402"/>
      <c r="C62" s="402"/>
      <c r="F62" s="402"/>
      <c r="I62" s="402"/>
      <c r="J62" s="402"/>
      <c r="K62" s="402"/>
      <c r="L62" s="402"/>
    </row>
    <row r="63" spans="1:12" ht="18.75" x14ac:dyDescent="0.25">
      <c r="A63" s="402"/>
      <c r="B63" s="402"/>
      <c r="C63" s="402"/>
      <c r="F63" s="402"/>
      <c r="I63" s="402"/>
      <c r="J63" s="402"/>
      <c r="K63" s="402"/>
      <c r="L63" s="402"/>
    </row>
    <row r="64" spans="1:12" ht="18.75" x14ac:dyDescent="0.25">
      <c r="A64" s="402"/>
      <c r="B64" s="402"/>
      <c r="C64" s="402"/>
      <c r="F64" s="402"/>
      <c r="I64" s="402"/>
      <c r="J64" s="402"/>
      <c r="K64" s="402"/>
      <c r="L64" s="402"/>
    </row>
    <row r="65" spans="1:12" ht="18.75" x14ac:dyDescent="0.25">
      <c r="A65" s="402"/>
      <c r="B65" s="402"/>
      <c r="C65" s="402"/>
      <c r="F65" s="402"/>
      <c r="I65" s="402"/>
      <c r="J65" s="402"/>
      <c r="K65" s="402"/>
      <c r="L65" s="402"/>
    </row>
    <row r="66" spans="1:12" ht="18.75" x14ac:dyDescent="0.25">
      <c r="A66" s="402"/>
      <c r="B66" s="402"/>
      <c r="C66" s="402"/>
      <c r="F66" s="402"/>
      <c r="I66" s="402"/>
      <c r="J66" s="402"/>
      <c r="K66" s="402"/>
      <c r="L66" s="402"/>
    </row>
    <row r="67" spans="1:12" ht="18.75" x14ac:dyDescent="0.25">
      <c r="A67" s="402"/>
      <c r="B67" s="402"/>
      <c r="C67" s="402"/>
      <c r="F67" s="402"/>
      <c r="I67" s="402"/>
      <c r="J67" s="402"/>
      <c r="K67" s="402"/>
      <c r="L67" s="402"/>
    </row>
    <row r="68" spans="1:12" ht="18.75" x14ac:dyDescent="0.25">
      <c r="A68" s="402"/>
      <c r="B68" s="402"/>
      <c r="C68" s="402"/>
      <c r="F68" s="402"/>
      <c r="I68" s="402"/>
      <c r="J68" s="402"/>
      <c r="K68" s="402"/>
      <c r="L68" s="402"/>
    </row>
    <row r="69" spans="1:12" ht="18.75" x14ac:dyDescent="0.25">
      <c r="A69" s="402"/>
      <c r="B69" s="402"/>
      <c r="C69" s="402"/>
      <c r="F69" s="402"/>
      <c r="I69" s="402"/>
      <c r="J69" s="402"/>
      <c r="K69" s="402"/>
      <c r="L69" s="402"/>
    </row>
    <row r="70" spans="1:12" ht="18.75" x14ac:dyDescent="0.25">
      <c r="A70" s="402"/>
      <c r="B70" s="402"/>
      <c r="C70" s="402"/>
      <c r="F70" s="402"/>
      <c r="I70" s="402"/>
      <c r="J70" s="402"/>
      <c r="K70" s="402"/>
      <c r="L70" s="402"/>
    </row>
    <row r="71" spans="1:12" ht="18.75" x14ac:dyDescent="0.25">
      <c r="A71" s="402"/>
      <c r="B71" s="402"/>
      <c r="C71" s="402"/>
      <c r="F71" s="402"/>
      <c r="I71" s="402"/>
      <c r="J71" s="402"/>
      <c r="K71" s="402"/>
      <c r="L71" s="402"/>
    </row>
    <row r="72" spans="1:12" ht="18.75" x14ac:dyDescent="0.25">
      <c r="A72" s="402"/>
      <c r="B72" s="402"/>
      <c r="C72" s="402"/>
      <c r="F72" s="402"/>
      <c r="I72" s="402"/>
      <c r="J72" s="402"/>
      <c r="K72" s="402"/>
      <c r="L72" s="402"/>
    </row>
    <row r="73" spans="1:12" ht="18.75" x14ac:dyDescent="0.25">
      <c r="A73" s="402"/>
      <c r="B73" s="402"/>
      <c r="C73" s="402"/>
      <c r="F73" s="402"/>
      <c r="I73" s="402"/>
      <c r="J73" s="402"/>
      <c r="K73" s="402"/>
      <c r="L73" s="402"/>
    </row>
    <row r="74" spans="1:12" ht="18.75" x14ac:dyDescent="0.25">
      <c r="A74" s="402"/>
      <c r="B74" s="402"/>
      <c r="C74" s="402"/>
      <c r="F74" s="402"/>
      <c r="I74" s="402"/>
      <c r="J74" s="402"/>
      <c r="K74" s="402"/>
      <c r="L74" s="402"/>
    </row>
    <row r="75" spans="1:12" ht="18.75" x14ac:dyDescent="0.25">
      <c r="A75" s="402"/>
      <c r="B75" s="402"/>
      <c r="C75" s="402"/>
      <c r="F75" s="402"/>
      <c r="I75" s="402"/>
      <c r="J75" s="402"/>
      <c r="K75" s="402"/>
      <c r="L75" s="402"/>
    </row>
    <row r="76" spans="1:12" ht="18.75" x14ac:dyDescent="0.25">
      <c r="A76" s="402"/>
      <c r="B76" s="402"/>
      <c r="C76" s="402"/>
      <c r="F76" s="402"/>
      <c r="I76" s="402"/>
      <c r="J76" s="402"/>
      <c r="K76" s="402"/>
      <c r="L76" s="402"/>
    </row>
    <row r="77" spans="1:12" ht="18.75" x14ac:dyDescent="0.25">
      <c r="A77" s="402"/>
      <c r="B77" s="402"/>
      <c r="C77" s="402"/>
      <c r="F77" s="402"/>
      <c r="I77" s="402"/>
      <c r="J77" s="402"/>
      <c r="K77" s="402"/>
      <c r="L77" s="402"/>
    </row>
    <row r="78" spans="1:12" ht="18.75" x14ac:dyDescent="0.25">
      <c r="A78" s="402"/>
      <c r="B78" s="402"/>
      <c r="C78" s="402"/>
      <c r="F78" s="402"/>
      <c r="I78" s="402"/>
      <c r="J78" s="402"/>
      <c r="K78" s="402"/>
      <c r="L78" s="402"/>
    </row>
    <row r="79" spans="1:12" ht="18.75" x14ac:dyDescent="0.25">
      <c r="A79" s="402"/>
      <c r="B79" s="402"/>
      <c r="C79" s="402"/>
      <c r="F79" s="402"/>
      <c r="I79" s="402"/>
      <c r="J79" s="402"/>
      <c r="K79" s="402"/>
      <c r="L79" s="402"/>
    </row>
    <row r="80" spans="1:12" ht="18.75" x14ac:dyDescent="0.25">
      <c r="A80" s="402"/>
      <c r="B80" s="402"/>
      <c r="C80" s="402"/>
      <c r="F80" s="402"/>
      <c r="I80" s="402"/>
      <c r="J80" s="402"/>
      <c r="K80" s="402"/>
      <c r="L80" s="402"/>
    </row>
    <row r="81" spans="1:12" ht="18.75" x14ac:dyDescent="0.25">
      <c r="A81" s="402"/>
      <c r="B81" s="402"/>
      <c r="C81" s="402"/>
      <c r="F81" s="402"/>
      <c r="I81" s="402"/>
      <c r="J81" s="402"/>
      <c r="K81" s="402"/>
      <c r="L81" s="402"/>
    </row>
    <row r="82" spans="1:12" ht="18.75" x14ac:dyDescent="0.25">
      <c r="A82" s="402"/>
      <c r="B82" s="402"/>
      <c r="C82" s="402"/>
      <c r="F82" s="402"/>
      <c r="I82" s="402"/>
      <c r="J82" s="402"/>
      <c r="K82" s="402"/>
      <c r="L82" s="402"/>
    </row>
    <row r="83" spans="1:12" ht="18.75" x14ac:dyDescent="0.25">
      <c r="A83" s="402"/>
      <c r="B83" s="402"/>
      <c r="C83" s="402"/>
      <c r="F83" s="402"/>
      <c r="I83" s="402"/>
      <c r="J83" s="402"/>
      <c r="K83" s="402"/>
      <c r="L83" s="402"/>
    </row>
    <row r="84" spans="1:12" ht="18.75" x14ac:dyDescent="0.25">
      <c r="A84" s="402"/>
      <c r="B84" s="402"/>
      <c r="C84" s="402"/>
      <c r="F84" s="402"/>
      <c r="I84" s="402"/>
      <c r="J84" s="402"/>
      <c r="K84" s="402"/>
      <c r="L84" s="402"/>
    </row>
    <row r="85" spans="1:12" ht="18.75" x14ac:dyDescent="0.25">
      <c r="A85" s="402"/>
      <c r="B85" s="402"/>
      <c r="C85" s="402"/>
      <c r="F85" s="402"/>
      <c r="I85" s="402"/>
      <c r="J85" s="402"/>
      <c r="K85" s="402"/>
      <c r="L85" s="402"/>
    </row>
    <row r="86" spans="1:12" ht="18.75" x14ac:dyDescent="0.25">
      <c r="A86" s="402"/>
      <c r="B86" s="402"/>
      <c r="C86" s="402"/>
      <c r="F86" s="402"/>
      <c r="I86" s="402"/>
      <c r="J86" s="402"/>
      <c r="K86" s="402"/>
      <c r="L86" s="402"/>
    </row>
    <row r="87" spans="1:12" ht="18.75" x14ac:dyDescent="0.25">
      <c r="A87" s="402"/>
      <c r="B87" s="402"/>
      <c r="C87" s="402"/>
      <c r="F87" s="402"/>
      <c r="I87" s="402"/>
      <c r="J87" s="402"/>
      <c r="K87" s="402"/>
      <c r="L87" s="402"/>
    </row>
    <row r="88" spans="1:12" ht="18.75" x14ac:dyDescent="0.25">
      <c r="A88" s="402"/>
      <c r="B88" s="402"/>
      <c r="C88" s="402"/>
      <c r="F88" s="402"/>
      <c r="I88" s="402"/>
      <c r="J88" s="402"/>
      <c r="K88" s="402"/>
      <c r="L88" s="402"/>
    </row>
    <row r="89" spans="1:12" ht="18.75" x14ac:dyDescent="0.25">
      <c r="A89" s="402"/>
      <c r="B89" s="402"/>
      <c r="C89" s="402"/>
      <c r="F89" s="402"/>
      <c r="I89" s="402"/>
      <c r="J89" s="402"/>
      <c r="K89" s="402"/>
      <c r="L89" s="402"/>
    </row>
    <row r="90" spans="1:12" ht="18.75" x14ac:dyDescent="0.25">
      <c r="A90" s="402"/>
      <c r="B90" s="402"/>
      <c r="C90" s="402"/>
      <c r="F90" s="402"/>
      <c r="I90" s="402"/>
      <c r="J90" s="402"/>
      <c r="K90" s="402"/>
      <c r="L90" s="402"/>
    </row>
    <row r="91" spans="1:12" ht="18.75" x14ac:dyDescent="0.25">
      <c r="A91" s="402"/>
      <c r="B91" s="402"/>
      <c r="C91" s="402"/>
      <c r="F91" s="402"/>
      <c r="I91" s="402"/>
      <c r="J91" s="402"/>
      <c r="K91" s="402"/>
      <c r="L91" s="402"/>
    </row>
    <row r="92" spans="1:12" ht="18.75" x14ac:dyDescent="0.25">
      <c r="A92" s="402"/>
      <c r="B92" s="402"/>
      <c r="C92" s="402"/>
      <c r="F92" s="402"/>
      <c r="I92" s="402"/>
      <c r="J92" s="402"/>
      <c r="K92" s="402"/>
      <c r="L92" s="402"/>
    </row>
    <row r="93" spans="1:12" ht="18.75" x14ac:dyDescent="0.25">
      <c r="A93" s="402"/>
      <c r="B93" s="402"/>
      <c r="C93" s="402"/>
      <c r="F93" s="402"/>
      <c r="I93" s="402"/>
      <c r="J93" s="402"/>
      <c r="K93" s="402"/>
      <c r="L93" s="402"/>
    </row>
    <row r="94" spans="1:12" ht="18.75" x14ac:dyDescent="0.25">
      <c r="A94" s="402"/>
      <c r="B94" s="402"/>
      <c r="C94" s="402"/>
      <c r="F94" s="402"/>
      <c r="I94" s="402"/>
      <c r="J94" s="402"/>
      <c r="K94" s="402"/>
      <c r="L94" s="402"/>
    </row>
    <row r="95" spans="1:12" ht="18.75" x14ac:dyDescent="0.25">
      <c r="A95" s="402"/>
      <c r="B95" s="402"/>
      <c r="C95" s="402"/>
      <c r="F95" s="402"/>
      <c r="I95" s="402"/>
      <c r="J95" s="402"/>
      <c r="K95" s="402"/>
      <c r="L95" s="402"/>
    </row>
    <row r="96" spans="1:12" ht="18.75" x14ac:dyDescent="0.25">
      <c r="A96" s="402"/>
      <c r="B96" s="402"/>
      <c r="C96" s="402"/>
      <c r="F96" s="402"/>
      <c r="I96" s="402"/>
      <c r="J96" s="402"/>
      <c r="K96" s="402"/>
      <c r="L96" s="402"/>
    </row>
    <row r="97" spans="1:12" ht="18.75" x14ac:dyDescent="0.25">
      <c r="A97" s="402"/>
      <c r="B97" s="402"/>
      <c r="C97" s="402"/>
      <c r="F97" s="402"/>
      <c r="I97" s="402"/>
      <c r="J97" s="402"/>
      <c r="K97" s="402"/>
      <c r="L97" s="402"/>
    </row>
    <row r="98" spans="1:12" ht="18.75" x14ac:dyDescent="0.25">
      <c r="A98" s="402"/>
      <c r="B98" s="402"/>
      <c r="C98" s="402"/>
      <c r="F98" s="402"/>
      <c r="I98" s="402"/>
      <c r="J98" s="402"/>
      <c r="K98" s="402"/>
      <c r="L98" s="402"/>
    </row>
    <row r="99" spans="1:12" ht="18.75" x14ac:dyDescent="0.25">
      <c r="A99" s="402"/>
      <c r="B99" s="402"/>
      <c r="C99" s="402"/>
      <c r="F99" s="402"/>
      <c r="I99" s="402"/>
      <c r="J99" s="402"/>
      <c r="K99" s="402"/>
      <c r="L99" s="402"/>
    </row>
    <row r="100" spans="1:12" ht="18.75" x14ac:dyDescent="0.25">
      <c r="A100" s="402"/>
      <c r="B100" s="402"/>
      <c r="C100" s="402"/>
      <c r="F100" s="402"/>
      <c r="I100" s="402"/>
      <c r="J100" s="402"/>
      <c r="K100" s="402"/>
      <c r="L100" s="402"/>
    </row>
    <row r="101" spans="1:12" ht="18.75" x14ac:dyDescent="0.25">
      <c r="A101" s="402"/>
      <c r="B101" s="402"/>
      <c r="C101" s="402"/>
      <c r="F101" s="402"/>
      <c r="I101" s="402"/>
      <c r="J101" s="402"/>
      <c r="K101" s="402"/>
      <c r="L101" s="402"/>
    </row>
    <row r="102" spans="1:12" ht="18.75" x14ac:dyDescent="0.25">
      <c r="A102" s="402"/>
      <c r="B102" s="402"/>
      <c r="C102" s="402"/>
      <c r="F102" s="402"/>
      <c r="I102" s="402"/>
      <c r="J102" s="402"/>
      <c r="K102" s="402"/>
      <c r="L102" s="402"/>
    </row>
    <row r="103" spans="1:12" ht="18.75" x14ac:dyDescent="0.25">
      <c r="A103" s="402"/>
      <c r="B103" s="402"/>
      <c r="C103" s="402"/>
      <c r="F103" s="402"/>
      <c r="I103" s="402"/>
      <c r="J103" s="402"/>
      <c r="K103" s="402"/>
      <c r="L103" s="402"/>
    </row>
    <row r="104" spans="1:12" ht="18.75" x14ac:dyDescent="0.25">
      <c r="A104" s="402"/>
      <c r="B104" s="402"/>
      <c r="C104" s="402"/>
      <c r="F104" s="402"/>
      <c r="I104" s="402"/>
      <c r="J104" s="402"/>
      <c r="K104" s="402"/>
      <c r="L104" s="402"/>
    </row>
    <row r="105" spans="1:12" ht="18.75" x14ac:dyDescent="0.25">
      <c r="A105" s="402"/>
      <c r="B105" s="402"/>
      <c r="C105" s="402"/>
      <c r="F105" s="402"/>
      <c r="I105" s="402"/>
      <c r="J105" s="402"/>
      <c r="K105" s="402"/>
      <c r="L105" s="402"/>
    </row>
    <row r="106" spans="1:12" ht="18.75" x14ac:dyDescent="0.25">
      <c r="A106" s="402"/>
      <c r="B106" s="402"/>
      <c r="C106" s="402"/>
      <c r="F106" s="402"/>
      <c r="I106" s="402"/>
      <c r="J106" s="402"/>
      <c r="K106" s="402"/>
      <c r="L106" s="402"/>
    </row>
    <row r="107" spans="1:12" ht="18.75" x14ac:dyDescent="0.25">
      <c r="A107" s="402"/>
      <c r="B107" s="402"/>
      <c r="C107" s="402"/>
      <c r="F107" s="402"/>
      <c r="I107" s="402"/>
      <c r="J107" s="402"/>
      <c r="K107" s="402"/>
      <c r="L107" s="402"/>
    </row>
    <row r="108" spans="1:12" ht="18.75" x14ac:dyDescent="0.25">
      <c r="A108" s="402"/>
      <c r="B108" s="402"/>
      <c r="C108" s="402"/>
      <c r="F108" s="402"/>
      <c r="I108" s="402"/>
      <c r="J108" s="402"/>
      <c r="K108" s="402"/>
      <c r="L108" s="402"/>
    </row>
    <row r="109" spans="1:12" ht="18.75" x14ac:dyDescent="0.25">
      <c r="A109" s="402"/>
      <c r="B109" s="402"/>
      <c r="C109" s="402"/>
      <c r="F109" s="402"/>
      <c r="I109" s="402"/>
      <c r="J109" s="402"/>
      <c r="K109" s="402"/>
      <c r="L109" s="402"/>
    </row>
    <row r="110" spans="1:12" ht="18.75" x14ac:dyDescent="0.25">
      <c r="A110" s="402"/>
      <c r="B110" s="402"/>
      <c r="C110" s="402"/>
      <c r="F110" s="402"/>
      <c r="I110" s="402"/>
      <c r="J110" s="402"/>
      <c r="K110" s="402"/>
      <c r="L110" s="402"/>
    </row>
    <row r="111" spans="1:12" ht="18.75" x14ac:dyDescent="0.25">
      <c r="A111" s="402"/>
      <c r="B111" s="402"/>
      <c r="C111" s="402"/>
      <c r="F111" s="402"/>
      <c r="I111" s="402"/>
      <c r="J111" s="402"/>
      <c r="K111" s="402"/>
      <c r="L111" s="402"/>
    </row>
    <row r="112" spans="1:12" ht="18.75" x14ac:dyDescent="0.25">
      <c r="A112" s="402"/>
      <c r="B112" s="402"/>
      <c r="C112" s="402"/>
      <c r="F112" s="402"/>
      <c r="I112" s="402"/>
      <c r="J112" s="402"/>
      <c r="K112" s="402"/>
      <c r="L112" s="402"/>
    </row>
    <row r="113" spans="1:12" ht="18.75" x14ac:dyDescent="0.25">
      <c r="A113" s="402"/>
      <c r="B113" s="402"/>
      <c r="C113" s="402"/>
      <c r="F113" s="402"/>
      <c r="I113" s="402"/>
      <c r="J113" s="402"/>
      <c r="K113" s="402"/>
      <c r="L113" s="402"/>
    </row>
    <row r="114" spans="1:12" ht="18.75" x14ac:dyDescent="0.25">
      <c r="A114" s="402"/>
      <c r="B114" s="402"/>
      <c r="C114" s="402"/>
      <c r="F114" s="402"/>
      <c r="I114" s="402"/>
      <c r="J114" s="402"/>
      <c r="K114" s="402"/>
      <c r="L114" s="402"/>
    </row>
    <row r="115" spans="1:12" ht="18.75" x14ac:dyDescent="0.25">
      <c r="A115" s="402"/>
      <c r="B115" s="402"/>
      <c r="C115" s="402"/>
      <c r="F115" s="402"/>
      <c r="I115" s="402"/>
      <c r="J115" s="402"/>
      <c r="K115" s="402"/>
      <c r="L115" s="402"/>
    </row>
    <row r="116" spans="1:12" ht="18.75" x14ac:dyDescent="0.25">
      <c r="A116" s="402"/>
      <c r="B116" s="402"/>
      <c r="C116" s="402"/>
      <c r="F116" s="402"/>
      <c r="I116" s="402"/>
      <c r="J116" s="402"/>
      <c r="K116" s="402"/>
      <c r="L116" s="402"/>
    </row>
    <row r="117" spans="1:12" ht="18.75" x14ac:dyDescent="0.25">
      <c r="A117" s="402"/>
      <c r="B117" s="402"/>
      <c r="C117" s="402"/>
      <c r="F117" s="402"/>
      <c r="I117" s="402"/>
      <c r="J117" s="402"/>
      <c r="K117" s="402"/>
      <c r="L117" s="402"/>
    </row>
    <row r="118" spans="1:12" ht="18.75" x14ac:dyDescent="0.25">
      <c r="A118" s="402"/>
      <c r="B118" s="402"/>
      <c r="C118" s="402"/>
      <c r="F118" s="402"/>
      <c r="I118" s="402"/>
      <c r="J118" s="402"/>
      <c r="K118" s="402"/>
      <c r="L118" s="402"/>
    </row>
    <row r="119" spans="1:12" ht="18.75" x14ac:dyDescent="0.25">
      <c r="A119" s="402"/>
      <c r="B119" s="402"/>
      <c r="C119" s="402"/>
      <c r="F119" s="402"/>
      <c r="I119" s="402"/>
      <c r="J119" s="402"/>
      <c r="K119" s="402"/>
      <c r="L119" s="402"/>
    </row>
    <row r="120" spans="1:12" ht="18.75" x14ac:dyDescent="0.25">
      <c r="A120" s="402"/>
      <c r="B120" s="402"/>
      <c r="C120" s="402"/>
      <c r="F120" s="402"/>
      <c r="I120" s="402"/>
      <c r="J120" s="402"/>
      <c r="K120" s="402"/>
      <c r="L120" s="402"/>
    </row>
    <row r="121" spans="1:12" ht="18.75" x14ac:dyDescent="0.25">
      <c r="A121" s="402"/>
      <c r="B121" s="402"/>
      <c r="C121" s="402"/>
      <c r="F121" s="402"/>
      <c r="I121" s="402"/>
      <c r="J121" s="402"/>
      <c r="K121" s="402"/>
      <c r="L121" s="402"/>
    </row>
    <row r="122" spans="1:12" ht="18.75" x14ac:dyDescent="0.25">
      <c r="A122" s="402"/>
      <c r="B122" s="402"/>
      <c r="C122" s="402"/>
      <c r="F122" s="402"/>
      <c r="I122" s="402"/>
      <c r="J122" s="402"/>
      <c r="K122" s="402"/>
      <c r="L122" s="402"/>
    </row>
    <row r="123" spans="1:12" ht="18.75" x14ac:dyDescent="0.25">
      <c r="A123" s="402"/>
      <c r="B123" s="402"/>
      <c r="C123" s="402"/>
      <c r="F123" s="402"/>
      <c r="I123" s="402"/>
      <c r="J123" s="402"/>
      <c r="K123" s="402"/>
      <c r="L123" s="402"/>
    </row>
    <row r="124" spans="1:12" ht="18.75" x14ac:dyDescent="0.25">
      <c r="A124" s="402"/>
      <c r="B124" s="402"/>
      <c r="C124" s="402"/>
      <c r="F124" s="402"/>
      <c r="I124" s="402"/>
      <c r="J124" s="402"/>
      <c r="K124" s="402"/>
      <c r="L124" s="402"/>
    </row>
    <row r="125" spans="1:12" ht="18.75" x14ac:dyDescent="0.25">
      <c r="A125" s="402"/>
      <c r="B125" s="402"/>
      <c r="C125" s="402"/>
      <c r="F125" s="402"/>
      <c r="I125" s="402"/>
      <c r="J125" s="402"/>
      <c r="K125" s="402"/>
      <c r="L125" s="402"/>
    </row>
  </sheetData>
  <mergeCells count="123">
    <mergeCell ref="A8:B8"/>
    <mergeCell ref="A10:B10"/>
    <mergeCell ref="G9:H9"/>
    <mergeCell ref="G10:H10"/>
    <mergeCell ref="J18:K18"/>
    <mergeCell ref="J19:K19"/>
    <mergeCell ref="G18:H18"/>
    <mergeCell ref="G19:H19"/>
    <mergeCell ref="J16:K16"/>
    <mergeCell ref="J17:K17"/>
    <mergeCell ref="G17:H17"/>
    <mergeCell ref="A16:B16"/>
    <mergeCell ref="J13:K13"/>
    <mergeCell ref="J14:K14"/>
    <mergeCell ref="J15:K15"/>
    <mergeCell ref="G11:H11"/>
    <mergeCell ref="G12:H12"/>
    <mergeCell ref="G13:H13"/>
    <mergeCell ref="G14:H14"/>
    <mergeCell ref="G15:H15"/>
    <mergeCell ref="G16:H16"/>
    <mergeCell ref="D8:E8"/>
    <mergeCell ref="G8:H8"/>
    <mergeCell ref="J8:K8"/>
    <mergeCell ref="G24:H24"/>
    <mergeCell ref="G25:H25"/>
    <mergeCell ref="J22:K22"/>
    <mergeCell ref="J23:K23"/>
    <mergeCell ref="G22:H22"/>
    <mergeCell ref="G23:H23"/>
    <mergeCell ref="J20:K20"/>
    <mergeCell ref="J21:K21"/>
    <mergeCell ref="G20:H20"/>
    <mergeCell ref="G21:H21"/>
    <mergeCell ref="J30:K30"/>
    <mergeCell ref="J31:K31"/>
    <mergeCell ref="G30:H30"/>
    <mergeCell ref="G31:H31"/>
    <mergeCell ref="J28:K28"/>
    <mergeCell ref="J29:K29"/>
    <mergeCell ref="G28:H28"/>
    <mergeCell ref="G29:H29"/>
    <mergeCell ref="J26:K26"/>
    <mergeCell ref="J27:K27"/>
    <mergeCell ref="G26:H26"/>
    <mergeCell ref="G27:H27"/>
    <mergeCell ref="G38:H38"/>
    <mergeCell ref="D38:E38"/>
    <mergeCell ref="G36:H36"/>
    <mergeCell ref="G37:H37"/>
    <mergeCell ref="J34:K34"/>
    <mergeCell ref="G34:H34"/>
    <mergeCell ref="G35:H35"/>
    <mergeCell ref="J32:K32"/>
    <mergeCell ref="J33:K33"/>
    <mergeCell ref="G32:H32"/>
    <mergeCell ref="G33:H33"/>
    <mergeCell ref="D37:E37"/>
    <mergeCell ref="D36:E36"/>
    <mergeCell ref="D35:E35"/>
    <mergeCell ref="D34:E34"/>
    <mergeCell ref="K2:L7"/>
    <mergeCell ref="A29:B29"/>
    <mergeCell ref="A17:B17"/>
    <mergeCell ref="A18:B18"/>
    <mergeCell ref="A19:B19"/>
    <mergeCell ref="A20:B20"/>
    <mergeCell ref="A21:B21"/>
    <mergeCell ref="A22:B22"/>
    <mergeCell ref="A9:B9"/>
    <mergeCell ref="A11:B11"/>
    <mergeCell ref="A12:B12"/>
    <mergeCell ref="A13:B13"/>
    <mergeCell ref="A14:B14"/>
    <mergeCell ref="J9:K9"/>
    <mergeCell ref="J10:K10"/>
    <mergeCell ref="J11:K11"/>
    <mergeCell ref="J12:K12"/>
    <mergeCell ref="D15:E15"/>
    <mergeCell ref="D16:E16"/>
    <mergeCell ref="D17:E17"/>
    <mergeCell ref="D18:E18"/>
    <mergeCell ref="D19:E19"/>
    <mergeCell ref="J24:K24"/>
    <mergeCell ref="J25:K25"/>
    <mergeCell ref="A34:B34"/>
    <mergeCell ref="A23:B23"/>
    <mergeCell ref="A24:B24"/>
    <mergeCell ref="A25:B25"/>
    <mergeCell ref="A26:B26"/>
    <mergeCell ref="A27:B27"/>
    <mergeCell ref="A28:B28"/>
    <mergeCell ref="D20:E20"/>
    <mergeCell ref="D9:E9"/>
    <mergeCell ref="D10:E10"/>
    <mergeCell ref="D11:E11"/>
    <mergeCell ref="D12:E12"/>
    <mergeCell ref="D13:E13"/>
    <mergeCell ref="D14:E14"/>
    <mergeCell ref="A1:B1"/>
    <mergeCell ref="A35:B35"/>
    <mergeCell ref="A36:B36"/>
    <mergeCell ref="A37:B37"/>
    <mergeCell ref="A38:B38"/>
    <mergeCell ref="C2:J7"/>
    <mergeCell ref="A15:B15"/>
    <mergeCell ref="D33:E33"/>
    <mergeCell ref="D27:E27"/>
    <mergeCell ref="D28:E28"/>
    <mergeCell ref="D29:E29"/>
    <mergeCell ref="D30:E30"/>
    <mergeCell ref="D31:E31"/>
    <mergeCell ref="D32:E32"/>
    <mergeCell ref="D21:E21"/>
    <mergeCell ref="D22:E22"/>
    <mergeCell ref="D23:E23"/>
    <mergeCell ref="D24:E24"/>
    <mergeCell ref="D25:E25"/>
    <mergeCell ref="D26:E26"/>
    <mergeCell ref="A30:B30"/>
    <mergeCell ref="A31:B31"/>
    <mergeCell ref="A32:B32"/>
    <mergeCell ref="A33:B3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02D3-3A9A-4173-9F3A-BBB361297B41}">
  <dimension ref="A1:CH56"/>
  <sheetViews>
    <sheetView workbookViewId="0">
      <pane xSplit="6" ySplit="2" topLeftCell="G3" activePane="bottomRight" state="frozen"/>
      <selection pane="bottomLeft"/>
      <selection pane="topRight"/>
      <selection pane="bottomRight" activeCell="O10" sqref="O10"/>
    </sheetView>
  </sheetViews>
  <sheetFormatPr defaultColWidth="3.765625" defaultRowHeight="15" customHeight="1" zeroHeight="1" x14ac:dyDescent="0.2"/>
  <cols>
    <col min="1" max="19" width="3.765625" customWidth="1"/>
    <col min="20" max="20" width="3.765625" style="417" customWidth="1"/>
    <col min="21" max="49" width="3.765625" style="1" customWidth="1"/>
    <col min="50" max="50" width="3.765625" style="427" customWidth="1"/>
    <col min="51" max="80" width="3.765625" style="1" customWidth="1"/>
    <col min="81" max="86" width="3.765625" customWidth="1"/>
  </cols>
  <sheetData>
    <row r="1" spans="1:86" ht="31.5" customHeight="1" x14ac:dyDescent="0.2">
      <c r="A1" s="483" t="str">
        <f>HYPERLINK("#'Table of Contents'!A1", "🏠 Return")</f>
        <v>🏠 Return</v>
      </c>
      <c r="B1" s="727"/>
      <c r="C1" s="727"/>
      <c r="D1" s="727"/>
      <c r="E1" s="727"/>
      <c r="F1" s="727"/>
      <c r="G1" s="425"/>
      <c r="H1" s="725" t="s">
        <v>140</v>
      </c>
      <c r="I1" s="726"/>
      <c r="J1" s="726"/>
      <c r="K1" s="726"/>
      <c r="L1" s="725" t="s">
        <v>49</v>
      </c>
      <c r="M1" s="726"/>
      <c r="N1" s="725" t="s">
        <v>141</v>
      </c>
      <c r="O1" s="726"/>
      <c r="P1" s="726"/>
      <c r="Q1" s="726"/>
      <c r="R1" s="726"/>
      <c r="S1" s="726"/>
      <c r="T1" s="728"/>
      <c r="U1" s="729" t="s">
        <v>142</v>
      </c>
      <c r="V1" s="730"/>
      <c r="W1" s="730"/>
      <c r="X1" s="730"/>
      <c r="Y1" s="730"/>
      <c r="Z1" s="731"/>
      <c r="AA1" s="429"/>
      <c r="AB1" s="429"/>
      <c r="AC1" s="429"/>
      <c r="AD1" s="429"/>
      <c r="AE1" s="429"/>
      <c r="AF1" s="429"/>
      <c r="AG1" s="429"/>
      <c r="AH1" s="429"/>
      <c r="AI1" s="429"/>
      <c r="AJ1" s="429"/>
      <c r="AK1" s="429"/>
      <c r="AL1" s="429"/>
      <c r="AM1" s="429"/>
      <c r="AN1" s="429"/>
      <c r="AO1" s="429"/>
      <c r="AP1" s="429"/>
      <c r="AQ1" s="429"/>
      <c r="AR1" s="429"/>
      <c r="AS1" s="429"/>
      <c r="AT1" s="429"/>
      <c r="AU1" s="429"/>
      <c r="AV1" s="429"/>
      <c r="AW1" s="429"/>
      <c r="AX1" s="429"/>
      <c r="AY1" s="429"/>
      <c r="AZ1" s="429"/>
      <c r="BA1" s="429"/>
      <c r="BB1" s="429"/>
      <c r="BC1" s="429"/>
      <c r="BD1" s="429"/>
      <c r="BE1" s="429"/>
      <c r="BF1" s="429"/>
      <c r="BG1" s="429"/>
      <c r="BH1" s="429"/>
      <c r="BI1" s="429"/>
      <c r="BJ1" s="429"/>
      <c r="BK1" s="429"/>
      <c r="BL1" s="429"/>
      <c r="BM1" s="429"/>
      <c r="BN1" s="429"/>
      <c r="BO1" s="429"/>
      <c r="BP1" s="429"/>
      <c r="BQ1" s="429"/>
      <c r="BR1" s="429"/>
      <c r="BS1" s="429"/>
      <c r="BT1" s="429"/>
      <c r="BU1" s="429"/>
      <c r="BV1" s="429"/>
      <c r="BW1" s="429"/>
      <c r="BX1" s="429"/>
      <c r="BY1" s="429"/>
      <c r="BZ1" s="429"/>
      <c r="CA1" s="429"/>
      <c r="CB1" s="429"/>
      <c r="CC1" s="433"/>
      <c r="CD1" s="9"/>
      <c r="CE1" s="9"/>
      <c r="CF1" s="9"/>
      <c r="CG1" s="9"/>
      <c r="CH1" s="9"/>
    </row>
    <row r="2" spans="1:86" ht="67.5" customHeight="1" x14ac:dyDescent="0.2">
      <c r="A2" s="432" t="s">
        <v>143</v>
      </c>
      <c r="B2" s="431" t="s">
        <v>144</v>
      </c>
      <c r="C2" s="408"/>
      <c r="D2" s="408"/>
      <c r="E2" s="408"/>
      <c r="F2" s="408"/>
      <c r="G2" s="413" t="s">
        <v>145</v>
      </c>
      <c r="H2" s="461" t="s">
        <v>146</v>
      </c>
      <c r="I2" s="428" t="s">
        <v>50</v>
      </c>
      <c r="J2" s="428" t="s">
        <v>147</v>
      </c>
      <c r="K2" s="428" t="s">
        <v>148</v>
      </c>
      <c r="L2" s="428" t="s">
        <v>149</v>
      </c>
      <c r="M2" s="428" t="s">
        <v>150</v>
      </c>
      <c r="N2" s="428" t="s">
        <v>151</v>
      </c>
      <c r="O2" s="428" t="s">
        <v>152</v>
      </c>
      <c r="P2" s="428" t="s">
        <v>153</v>
      </c>
      <c r="Q2" s="428" t="s">
        <v>154</v>
      </c>
      <c r="R2" s="428" t="s">
        <v>155</v>
      </c>
      <c r="S2" s="430" t="s">
        <v>156</v>
      </c>
      <c r="T2" s="428" t="s">
        <v>157</v>
      </c>
      <c r="U2" s="428" t="s">
        <v>72</v>
      </c>
      <c r="V2" s="428" t="s">
        <v>130</v>
      </c>
      <c r="W2" s="428" t="s">
        <v>158</v>
      </c>
      <c r="X2" s="428" t="s">
        <v>159</v>
      </c>
      <c r="Y2" s="428" t="s">
        <v>160</v>
      </c>
      <c r="Z2" s="428" t="s">
        <v>161</v>
      </c>
      <c r="AA2" s="428"/>
      <c r="AB2" s="428"/>
      <c r="AC2" s="428"/>
      <c r="AD2" s="428"/>
      <c r="AE2" s="428"/>
      <c r="AF2" s="428"/>
      <c r="AG2" s="428"/>
      <c r="AH2" s="428"/>
      <c r="AI2" s="428"/>
      <c r="AJ2" s="428"/>
      <c r="AK2" s="428"/>
      <c r="AL2" s="428"/>
      <c r="AM2" s="428"/>
      <c r="AN2" s="428"/>
      <c r="AO2" s="428"/>
      <c r="AP2" s="428"/>
      <c r="AQ2" s="428"/>
      <c r="AR2" s="428"/>
      <c r="AS2" s="428"/>
      <c r="AT2" s="428"/>
      <c r="AU2" s="428"/>
      <c r="AV2" s="428"/>
      <c r="AW2" s="430"/>
      <c r="AX2" s="428"/>
      <c r="AY2" s="428"/>
      <c r="AZ2" s="428"/>
      <c r="BA2" s="428"/>
      <c r="BB2" s="428"/>
      <c r="BC2" s="428"/>
      <c r="BD2" s="428"/>
      <c r="BE2" s="428"/>
      <c r="BF2" s="428"/>
      <c r="BG2" s="428"/>
      <c r="BH2" s="428"/>
      <c r="BI2" s="428"/>
      <c r="BJ2" s="428"/>
      <c r="BK2" s="428"/>
      <c r="BL2" s="428"/>
      <c r="BM2" s="428"/>
      <c r="BN2" s="428"/>
      <c r="BO2" s="428"/>
      <c r="BP2" s="428"/>
      <c r="BQ2" s="428"/>
      <c r="BR2" s="428"/>
      <c r="BS2" s="428"/>
      <c r="BT2" s="428"/>
      <c r="BU2" s="428"/>
      <c r="BV2" s="428"/>
      <c r="BW2" s="428"/>
      <c r="BX2" s="428"/>
      <c r="BY2" s="428"/>
      <c r="BZ2" s="428"/>
      <c r="CA2" s="428"/>
      <c r="CB2" s="428"/>
      <c r="CC2" s="428"/>
      <c r="CD2" s="409"/>
      <c r="CE2" s="409"/>
      <c r="CF2" s="409"/>
      <c r="CG2" s="409"/>
      <c r="CH2" s="409"/>
    </row>
    <row r="3" spans="1:86" x14ac:dyDescent="0.2">
      <c r="A3" s="485" t="s">
        <v>118</v>
      </c>
      <c r="B3" s="485"/>
      <c r="C3" s="485"/>
      <c r="D3" s="485"/>
      <c r="E3" s="485"/>
      <c r="F3" s="486"/>
      <c r="G3" s="17">
        <f>COUNTIF(H3:CH3, 1)</f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2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2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</row>
    <row r="4" spans="1:86" x14ac:dyDescent="0.2">
      <c r="A4" s="485" t="s">
        <v>119</v>
      </c>
      <c r="B4" s="485"/>
      <c r="C4" s="485"/>
      <c r="D4" s="485"/>
      <c r="E4" s="485"/>
      <c r="F4" s="486"/>
      <c r="G4" s="17">
        <f>COUNTIF(H4:CH4, 1)</f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2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2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</row>
    <row r="5" spans="1:86" x14ac:dyDescent="0.2">
      <c r="A5" s="485" t="s">
        <v>120</v>
      </c>
      <c r="B5" s="485"/>
      <c r="C5" s="485"/>
      <c r="D5" s="485"/>
      <c r="E5" s="485"/>
      <c r="F5" s="486"/>
      <c r="G5" s="17">
        <f>COUNTIF(H5:CH5, 1)</f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2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</row>
    <row r="6" spans="1:86" x14ac:dyDescent="0.2">
      <c r="A6" s="485" t="s">
        <v>121</v>
      </c>
      <c r="B6" s="485"/>
      <c r="C6" s="485"/>
      <c r="D6" s="485"/>
      <c r="E6" s="485"/>
      <c r="F6" s="486"/>
      <c r="G6" s="17">
        <f>COUNTIF(H6:CH6, 1)</f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2"/>
      <c r="T6" s="3"/>
      <c r="U6" s="3"/>
      <c r="V6" s="3"/>
      <c r="W6" s="3"/>
      <c r="X6" s="3"/>
      <c r="Y6" s="3"/>
      <c r="Z6" s="410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2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</row>
    <row r="7" spans="1:86" x14ac:dyDescent="0.2">
      <c r="A7" s="485" t="s">
        <v>123</v>
      </c>
      <c r="B7" s="485"/>
      <c r="C7" s="485"/>
      <c r="D7" s="485"/>
      <c r="E7" s="485"/>
      <c r="F7" s="486"/>
      <c r="G7" s="17">
        <f>COUNTIF(H7:CH7, 1)</f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2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2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spans="1:86" x14ac:dyDescent="0.2">
      <c r="A8" s="485" t="s">
        <v>162</v>
      </c>
      <c r="B8" s="485"/>
      <c r="C8" s="485"/>
      <c r="D8" s="485"/>
      <c r="E8" s="485"/>
      <c r="F8" s="486"/>
      <c r="G8" s="17">
        <f>COUNTIF(H8:CH8, 1)</f>
        <v>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2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2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</row>
    <row r="9" spans="1:86" x14ac:dyDescent="0.2">
      <c r="A9" s="485" t="s">
        <v>128</v>
      </c>
      <c r="B9" s="485"/>
      <c r="C9" s="485"/>
      <c r="D9" s="485"/>
      <c r="E9" s="485"/>
      <c r="F9" s="486"/>
      <c r="G9" s="17">
        <f>COUNTIF(H9:CH9, 1)</f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2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2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</row>
    <row r="10" spans="1:86" x14ac:dyDescent="0.2">
      <c r="A10" s="485" t="s">
        <v>124</v>
      </c>
      <c r="B10" s="485"/>
      <c r="C10" s="485"/>
      <c r="D10" s="485"/>
      <c r="E10" s="485"/>
      <c r="F10" s="486"/>
      <c r="G10" s="17">
        <f>COUNTIF(H10:CH10, 1)</f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2"/>
      <c r="T10" s="3"/>
      <c r="U10" s="3"/>
      <c r="V10" s="3"/>
      <c r="W10" s="3"/>
      <c r="X10" s="3"/>
      <c r="Y10" s="3"/>
      <c r="Z10" s="3"/>
      <c r="AA10" s="3"/>
      <c r="AB10" s="410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2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</row>
    <row r="11" spans="1:86" x14ac:dyDescent="0.2">
      <c r="A11" s="485" t="s">
        <v>70</v>
      </c>
      <c r="B11" s="485"/>
      <c r="C11" s="485"/>
      <c r="D11" s="485"/>
      <c r="E11" s="485"/>
      <c r="F11" s="486"/>
      <c r="G11" s="17">
        <f>COUNTIF(H11:CH11, 1)</f>
        <v>1</v>
      </c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2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410"/>
      <c r="AN11" s="3"/>
      <c r="AO11" s="3"/>
      <c r="AP11" s="3"/>
      <c r="AQ11" s="3"/>
      <c r="AR11" s="3"/>
      <c r="AS11" s="3"/>
      <c r="AT11" s="3"/>
      <c r="AU11" s="3"/>
      <c r="AV11" s="3"/>
      <c r="AW11" s="32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</row>
    <row r="12" spans="1:86" x14ac:dyDescent="0.2">
      <c r="A12" s="485" t="s">
        <v>84</v>
      </c>
      <c r="B12" s="485"/>
      <c r="C12" s="485"/>
      <c r="D12" s="485"/>
      <c r="E12" s="485"/>
      <c r="F12" s="486"/>
      <c r="G12" s="17">
        <f>COUNTIF(H12:CH12, 1)</f>
        <v>4</v>
      </c>
      <c r="H12" s="3">
        <v>1</v>
      </c>
      <c r="I12" s="3">
        <v>1</v>
      </c>
      <c r="J12" s="3"/>
      <c r="K12" s="3">
        <v>1</v>
      </c>
      <c r="L12" s="3"/>
      <c r="M12" s="3"/>
      <c r="N12" s="3"/>
      <c r="O12" s="3"/>
      <c r="P12" s="3"/>
      <c r="Q12" s="3"/>
      <c r="R12" s="3"/>
      <c r="S12" s="32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2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spans="1:86" x14ac:dyDescent="0.2">
      <c r="A13" s="485" t="s">
        <v>64</v>
      </c>
      <c r="B13" s="485"/>
      <c r="C13" s="485"/>
      <c r="D13" s="485"/>
      <c r="E13" s="485"/>
      <c r="F13" s="486"/>
      <c r="G13" s="17">
        <f>COUNTIF(H13:CH13, 1)</f>
        <v>12</v>
      </c>
      <c r="H13" s="3">
        <v>1</v>
      </c>
      <c r="I13" s="3">
        <v>1</v>
      </c>
      <c r="J13" s="3">
        <v>1</v>
      </c>
      <c r="K13" s="3"/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/>
      <c r="R13" s="3"/>
      <c r="S13" s="32"/>
      <c r="T13" s="3"/>
      <c r="U13" s="3">
        <v>1</v>
      </c>
      <c r="V13" s="3"/>
      <c r="W13" s="3">
        <v>1</v>
      </c>
      <c r="X13" s="3">
        <v>1</v>
      </c>
      <c r="Y13" s="3">
        <v>1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2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</row>
    <row r="14" spans="1:86" x14ac:dyDescent="0.2">
      <c r="A14" s="485" t="s">
        <v>104</v>
      </c>
      <c r="B14" s="485"/>
      <c r="C14" s="485"/>
      <c r="D14" s="485"/>
      <c r="E14" s="485"/>
      <c r="F14" s="486"/>
      <c r="G14" s="17">
        <f t="shared" ref="G14:G56" si="0">COUNTIF(H14:CH14, 1)</f>
        <v>9</v>
      </c>
      <c r="H14" s="3">
        <v>1</v>
      </c>
      <c r="I14" s="3">
        <v>1</v>
      </c>
      <c r="J14" s="3">
        <v>1</v>
      </c>
      <c r="K14" s="3"/>
      <c r="L14" s="3">
        <v>1</v>
      </c>
      <c r="M14" s="3"/>
      <c r="N14" s="3">
        <v>1</v>
      </c>
      <c r="O14" s="3">
        <v>1</v>
      </c>
      <c r="P14" s="3">
        <v>1</v>
      </c>
      <c r="Q14" s="3"/>
      <c r="R14" s="3">
        <v>1</v>
      </c>
      <c r="S14" s="32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2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</row>
    <row r="15" spans="1:86" x14ac:dyDescent="0.2">
      <c r="A15" s="485" t="s">
        <v>139</v>
      </c>
      <c r="B15" s="485"/>
      <c r="C15" s="485"/>
      <c r="D15" s="485"/>
      <c r="E15" s="485"/>
      <c r="F15" s="486"/>
      <c r="G15" s="17">
        <f t="shared" si="0"/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2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410"/>
      <c r="AP15" s="3"/>
      <c r="AQ15" s="3"/>
      <c r="AR15" s="3"/>
      <c r="AS15" s="3"/>
      <c r="AT15" s="3"/>
      <c r="AU15" s="3"/>
      <c r="AV15" s="3"/>
      <c r="AW15" s="32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</row>
    <row r="16" spans="1:86" x14ac:dyDescent="0.2">
      <c r="A16" s="485" t="s">
        <v>94</v>
      </c>
      <c r="B16" s="485"/>
      <c r="C16" s="485"/>
      <c r="D16" s="485"/>
      <c r="E16" s="485"/>
      <c r="F16" s="486"/>
      <c r="G16" s="17">
        <f t="shared" si="0"/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2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2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</row>
    <row r="17" spans="1:86" x14ac:dyDescent="0.2">
      <c r="A17" s="485" t="s">
        <v>73</v>
      </c>
      <c r="B17" s="485"/>
      <c r="C17" s="485"/>
      <c r="D17" s="485"/>
      <c r="E17" s="485"/>
      <c r="F17" s="486"/>
      <c r="G17" s="17">
        <f t="shared" si="0"/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2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2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</row>
    <row r="18" spans="1:86" x14ac:dyDescent="0.2">
      <c r="A18" s="485" t="s">
        <v>75</v>
      </c>
      <c r="B18" s="485"/>
      <c r="C18" s="485"/>
      <c r="D18" s="485"/>
      <c r="E18" s="485"/>
      <c r="F18" s="486"/>
      <c r="G18" s="17">
        <f t="shared" si="0"/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2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2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spans="1:86" x14ac:dyDescent="0.2">
      <c r="A19" s="485" t="s">
        <v>96</v>
      </c>
      <c r="B19" s="485"/>
      <c r="C19" s="485"/>
      <c r="D19" s="485"/>
      <c r="E19" s="485"/>
      <c r="F19" s="486"/>
      <c r="G19" s="17">
        <f t="shared" si="0"/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2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2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</row>
    <row r="20" spans="1:86" x14ac:dyDescent="0.2">
      <c r="A20" s="485" t="s">
        <v>129</v>
      </c>
      <c r="B20" s="485"/>
      <c r="C20" s="485"/>
      <c r="D20" s="485"/>
      <c r="E20" s="485"/>
      <c r="F20" s="486"/>
      <c r="G20" s="17">
        <f t="shared" si="0"/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2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2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</row>
    <row r="21" spans="1:86" x14ac:dyDescent="0.2">
      <c r="A21" s="485" t="s">
        <v>77</v>
      </c>
      <c r="B21" s="485"/>
      <c r="C21" s="485"/>
      <c r="D21" s="485"/>
      <c r="E21" s="485"/>
      <c r="F21" s="486"/>
      <c r="G21" s="17">
        <f t="shared" si="0"/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2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2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</row>
    <row r="22" spans="1:86" x14ac:dyDescent="0.2">
      <c r="A22" s="485" t="s">
        <v>79</v>
      </c>
      <c r="B22" s="485"/>
      <c r="C22" s="485"/>
      <c r="D22" s="485"/>
      <c r="E22" s="485"/>
      <c r="F22" s="486"/>
      <c r="G22" s="17">
        <f t="shared" si="0"/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2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2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</row>
    <row r="23" spans="1:86" x14ac:dyDescent="0.2">
      <c r="A23" s="485" t="s">
        <v>106</v>
      </c>
      <c r="B23" s="485"/>
      <c r="C23" s="485"/>
      <c r="D23" s="485"/>
      <c r="E23" s="485"/>
      <c r="F23" s="486"/>
      <c r="G23" s="17">
        <f t="shared" si="0"/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2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2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</row>
    <row r="24" spans="1:86" x14ac:dyDescent="0.2">
      <c r="A24" s="485" t="s">
        <v>131</v>
      </c>
      <c r="B24" s="485"/>
      <c r="C24" s="485"/>
      <c r="D24" s="485"/>
      <c r="E24" s="485"/>
      <c r="F24" s="486"/>
      <c r="G24" s="17">
        <f t="shared" si="0"/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2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2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spans="1:86" x14ac:dyDescent="0.2">
      <c r="A25" s="485" t="s">
        <v>132</v>
      </c>
      <c r="B25" s="485"/>
      <c r="C25" s="485"/>
      <c r="D25" s="485"/>
      <c r="E25" s="485"/>
      <c r="F25" s="486"/>
      <c r="G25" s="17">
        <f t="shared" si="0"/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2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2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</row>
    <row r="26" spans="1:86" x14ac:dyDescent="0.2">
      <c r="A26" s="485" t="s">
        <v>82</v>
      </c>
      <c r="B26" s="485"/>
      <c r="C26" s="485"/>
      <c r="D26" s="485"/>
      <c r="E26" s="485"/>
      <c r="F26" s="486"/>
      <c r="G26" s="17">
        <f t="shared" si="0"/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2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2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</row>
    <row r="27" spans="1:86" x14ac:dyDescent="0.2">
      <c r="A27" s="485" t="s">
        <v>100</v>
      </c>
      <c r="B27" s="485"/>
      <c r="C27" s="485"/>
      <c r="D27" s="485"/>
      <c r="E27" s="485"/>
      <c r="F27" s="486"/>
      <c r="G27" s="17">
        <f t="shared" si="0"/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2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2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</row>
    <row r="28" spans="1:86" x14ac:dyDescent="0.2">
      <c r="A28" s="485" t="s">
        <v>99</v>
      </c>
      <c r="B28" s="485"/>
      <c r="C28" s="485"/>
      <c r="D28" s="485"/>
      <c r="E28" s="485"/>
      <c r="F28" s="486"/>
      <c r="G28" s="17">
        <f t="shared" si="0"/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2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2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</row>
    <row r="29" spans="1:86" x14ac:dyDescent="0.2">
      <c r="A29" s="485" t="s">
        <v>111</v>
      </c>
      <c r="B29" s="485"/>
      <c r="C29" s="485"/>
      <c r="D29" s="485"/>
      <c r="E29" s="485"/>
      <c r="F29" s="486"/>
      <c r="G29" s="17">
        <f t="shared" si="0"/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2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2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</row>
    <row r="30" spans="1:86" x14ac:dyDescent="0.2">
      <c r="A30" s="485" t="s">
        <v>97</v>
      </c>
      <c r="B30" s="485"/>
      <c r="C30" s="485"/>
      <c r="D30" s="485"/>
      <c r="E30" s="485"/>
      <c r="F30" s="486"/>
      <c r="G30" s="17">
        <f t="shared" si="0"/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2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2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spans="1:86" x14ac:dyDescent="0.2">
      <c r="A31" s="485" t="s">
        <v>98</v>
      </c>
      <c r="B31" s="485"/>
      <c r="C31" s="485"/>
      <c r="D31" s="485"/>
      <c r="E31" s="485"/>
      <c r="F31" s="486"/>
      <c r="G31" s="17">
        <f t="shared" si="0"/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2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2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</row>
    <row r="32" spans="1:86" x14ac:dyDescent="0.2">
      <c r="A32" s="485" t="s">
        <v>133</v>
      </c>
      <c r="B32" s="485"/>
      <c r="C32" s="485"/>
      <c r="D32" s="485"/>
      <c r="E32" s="485"/>
      <c r="F32" s="486"/>
      <c r="G32" s="17">
        <f t="shared" si="0"/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2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2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485" t="s">
        <v>90</v>
      </c>
      <c r="B33" s="485"/>
      <c r="C33" s="485"/>
      <c r="D33" s="485"/>
      <c r="E33" s="485"/>
      <c r="F33" s="486"/>
      <c r="G33" s="17">
        <f t="shared" si="0"/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2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2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485" t="s">
        <v>92</v>
      </c>
      <c r="B34" s="485"/>
      <c r="C34" s="485"/>
      <c r="D34" s="485"/>
      <c r="E34" s="485"/>
      <c r="F34" s="486"/>
      <c r="G34" s="17">
        <f t="shared" si="0"/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2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2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  <row r="35" spans="1:86" x14ac:dyDescent="0.2">
      <c r="A35" s="485" t="s">
        <v>109</v>
      </c>
      <c r="B35" s="485"/>
      <c r="C35" s="485"/>
      <c r="D35" s="485"/>
      <c r="E35" s="485"/>
      <c r="F35" s="486"/>
      <c r="G35" s="17">
        <f t="shared" si="0"/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2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2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  <row r="36" spans="1:86" x14ac:dyDescent="0.2">
      <c r="A36" s="485" t="s">
        <v>101</v>
      </c>
      <c r="B36" s="485"/>
      <c r="C36" s="485"/>
      <c r="D36" s="485"/>
      <c r="E36" s="485"/>
      <c r="F36" s="486"/>
      <c r="G36" s="17">
        <f t="shared" si="0"/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2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2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</row>
    <row r="37" spans="1:86" x14ac:dyDescent="0.2">
      <c r="A37" s="485" t="s">
        <v>102</v>
      </c>
      <c r="B37" s="485"/>
      <c r="C37" s="485"/>
      <c r="D37" s="485"/>
      <c r="E37" s="485"/>
      <c r="F37" s="486"/>
      <c r="G37" s="17">
        <f t="shared" si="0"/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2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2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spans="1:86" x14ac:dyDescent="0.2">
      <c r="A38" s="485" t="s">
        <v>113</v>
      </c>
      <c r="B38" s="485"/>
      <c r="C38" s="485"/>
      <c r="D38" s="485"/>
      <c r="E38" s="485"/>
      <c r="F38" s="486"/>
      <c r="G38" s="17">
        <f t="shared" si="0"/>
        <v>0</v>
      </c>
      <c r="H38" s="3"/>
      <c r="I38" s="3">
        <v>2</v>
      </c>
      <c r="J38" s="3"/>
      <c r="K38" s="3"/>
      <c r="L38" s="3"/>
      <c r="M38" s="3"/>
      <c r="N38" s="3"/>
      <c r="O38" s="3"/>
      <c r="P38" s="3"/>
      <c r="Q38" s="3"/>
      <c r="R38" s="3"/>
      <c r="S38" s="32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2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</row>
    <row r="39" spans="1:86" x14ac:dyDescent="0.2">
      <c r="A39" s="482"/>
      <c r="B39" s="482"/>
      <c r="C39" s="482"/>
      <c r="D39" s="482"/>
      <c r="E39" s="482"/>
      <c r="F39" s="482"/>
      <c r="G39" s="1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2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2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</row>
    <row r="40" spans="1:86" x14ac:dyDescent="0.2">
      <c r="A40" s="482"/>
      <c r="B40" s="482"/>
      <c r="C40" s="482"/>
      <c r="D40" s="482"/>
      <c r="E40" s="482"/>
      <c r="F40" s="482"/>
      <c r="G40" s="1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2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2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</row>
    <row r="41" spans="1:86" x14ac:dyDescent="0.2">
      <c r="A41" s="482"/>
      <c r="B41" s="482"/>
      <c r="C41" s="482"/>
      <c r="D41" s="482"/>
      <c r="E41" s="482"/>
      <c r="F41" s="482"/>
      <c r="G41" s="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2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2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</row>
    <row r="42" spans="1:86" x14ac:dyDescent="0.2">
      <c r="A42" s="9"/>
      <c r="B42" s="9"/>
      <c r="C42" s="9"/>
      <c r="D42" s="9"/>
      <c r="E42" s="9"/>
      <c r="F42" s="9"/>
      <c r="G42" s="1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2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2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</row>
    <row r="43" spans="1:86" x14ac:dyDescent="0.2">
      <c r="A43" s="9"/>
      <c r="B43" s="9"/>
      <c r="C43" s="9"/>
      <c r="D43" s="9"/>
      <c r="E43" s="9"/>
      <c r="F43" s="9"/>
      <c r="G43" s="1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2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2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spans="1:86" x14ac:dyDescent="0.2">
      <c r="A44" s="9"/>
      <c r="B44" s="9"/>
      <c r="C44" s="9"/>
      <c r="D44" s="9"/>
      <c r="E44" s="9"/>
      <c r="F44" s="9"/>
      <c r="G44" s="1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2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2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</row>
    <row r="45" spans="1:86" x14ac:dyDescent="0.2">
      <c r="A45" s="9"/>
      <c r="B45" s="9"/>
      <c r="C45" s="9"/>
      <c r="D45" s="9"/>
      <c r="E45" s="9"/>
      <c r="F45" s="9"/>
      <c r="G45" s="17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2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2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</row>
    <row r="46" spans="1:86" x14ac:dyDescent="0.2">
      <c r="A46" s="9"/>
      <c r="B46" s="9"/>
      <c r="C46" s="9"/>
      <c r="D46" s="9"/>
      <c r="E46" s="9"/>
      <c r="F46" s="9"/>
      <c r="G46" s="1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2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2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</row>
    <row r="47" spans="1:86" x14ac:dyDescent="0.2">
      <c r="A47" s="9"/>
      <c r="B47" s="9"/>
      <c r="C47" s="9"/>
      <c r="D47" s="9"/>
      <c r="E47" s="9"/>
      <c r="F47" s="9"/>
      <c r="G47" s="1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2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2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spans="1:86" x14ac:dyDescent="0.2">
      <c r="A48" s="9"/>
      <c r="B48" s="9"/>
      <c r="C48" s="9"/>
      <c r="D48" s="9"/>
      <c r="E48" s="9"/>
      <c r="F48" s="9"/>
      <c r="G48" s="1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2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2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spans="1:86" x14ac:dyDescent="0.2">
      <c r="A49" s="9"/>
      <c r="B49" s="9"/>
      <c r="C49" s="9"/>
      <c r="D49" s="9"/>
      <c r="E49" s="9"/>
      <c r="F49" s="9"/>
      <c r="G49" s="1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2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2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spans="1:86" x14ac:dyDescent="0.2">
      <c r="A50" s="9"/>
      <c r="B50" s="9"/>
      <c r="C50" s="9"/>
      <c r="D50" s="9"/>
      <c r="E50" s="9"/>
      <c r="F50" s="9"/>
      <c r="G50" s="1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2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2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spans="1:86" x14ac:dyDescent="0.2">
      <c r="A51" s="9"/>
      <c r="B51" s="9"/>
      <c r="C51" s="9"/>
      <c r="D51" s="9"/>
      <c r="E51" s="9"/>
      <c r="F51" s="9"/>
      <c r="G51" s="1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2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2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spans="1:86" x14ac:dyDescent="0.2">
      <c r="A52" s="9"/>
      <c r="B52" s="9"/>
      <c r="C52" s="9"/>
      <c r="D52" s="9"/>
      <c r="E52" s="9"/>
      <c r="F52" s="9"/>
      <c r="G52" s="1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2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2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spans="1:86" x14ac:dyDescent="0.2">
      <c r="A53" s="9"/>
      <c r="B53" s="9"/>
      <c r="C53" s="9"/>
      <c r="D53" s="9"/>
      <c r="E53" s="9"/>
      <c r="F53" s="9"/>
      <c r="G53" s="1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2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2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spans="1:86" x14ac:dyDescent="0.2">
      <c r="A54" s="9"/>
      <c r="B54" s="9"/>
      <c r="C54" s="9"/>
      <c r="D54" s="9"/>
      <c r="E54" s="9"/>
      <c r="F54" s="9"/>
      <c r="G54" s="17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2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2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spans="1:86" hidden="1" x14ac:dyDescent="0.2">
      <c r="G55" s="17"/>
      <c r="T55" s="427"/>
    </row>
    <row r="56" spans="1:86" ht="15" customHeight="1" x14ac:dyDescent="0.2">
      <c r="G56" s="17"/>
      <c r="T56" s="427"/>
    </row>
  </sheetData>
  <mergeCells count="44">
    <mergeCell ref="A1:F1"/>
    <mergeCell ref="L1:M1"/>
    <mergeCell ref="N1:T1"/>
    <mergeCell ref="U1:Z1"/>
    <mergeCell ref="A14:F14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26:F26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39:F39"/>
    <mergeCell ref="A40:F40"/>
    <mergeCell ref="A41:F41"/>
    <mergeCell ref="H1:K1"/>
    <mergeCell ref="A33:F33"/>
    <mergeCell ref="A34:F34"/>
    <mergeCell ref="A35:F35"/>
    <mergeCell ref="A36:F36"/>
    <mergeCell ref="A37:F37"/>
    <mergeCell ref="A38:F38"/>
    <mergeCell ref="A27:F27"/>
    <mergeCell ref="A28:F28"/>
    <mergeCell ref="A29:F29"/>
    <mergeCell ref="A30:F30"/>
    <mergeCell ref="A31:F31"/>
    <mergeCell ref="A32:F32"/>
  </mergeCells>
  <conditionalFormatting sqref="H3:ACV55">
    <cfRule type="cellIs" dxfId="32" priority="1" operator="equal">
      <formula>2</formula>
    </cfRule>
    <cfRule type="cellIs" dxfId="31" priority="2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AD242-F008-4803-9BDD-332D8E57339A}">
  <dimension ref="A1:BED57"/>
  <sheetViews>
    <sheetView tabSelected="1" workbookViewId="0">
      <pane xSplit="6" ySplit="4" topLeftCell="G5" activePane="bottomRight" state="frozen"/>
      <selection pane="bottomLeft"/>
      <selection pane="topRight"/>
      <selection pane="bottomRight" activeCell="G15" sqref="G15"/>
    </sheetView>
  </sheetViews>
  <sheetFormatPr defaultColWidth="4.9765625" defaultRowHeight="15" customHeight="1" zeroHeight="1" x14ac:dyDescent="0.2"/>
  <cols>
    <col min="20" max="20" width="4.9765625" style="417"/>
    <col min="21" max="48" width="4.9765625" style="1"/>
    <col min="49" max="49" width="4.9765625" style="422"/>
    <col min="81" max="81" width="4.9765625" style="417"/>
    <col min="111" max="111" width="4.9765625" style="417"/>
    <col min="112" max="141" width="4.9765625" style="1"/>
    <col min="142" max="142" width="4.9765625" style="417"/>
    <col min="143" max="172" width="4.9765625" style="1"/>
    <col min="173" max="173" width="4.9765625" style="417"/>
    <col min="201" max="201" width="4.9765625" style="417"/>
    <col min="232" max="232" width="4.9765625" style="417"/>
    <col min="262" max="262" width="4.9765625" style="417"/>
    <col min="263" max="292" width="4.9765625" style="1"/>
    <col min="293" max="293" width="4.9765625" style="417"/>
    <col min="323" max="323" width="4.9765625" style="417"/>
  </cols>
  <sheetData>
    <row r="1" spans="1:1486" ht="31.5" customHeight="1" x14ac:dyDescent="0.2">
      <c r="A1" s="483" t="str">
        <f>HYPERLINK("#'Table of Contents'!A1", "🏠 Return")</f>
        <v>🏠 Return</v>
      </c>
      <c r="B1" s="484"/>
      <c r="C1" s="484"/>
      <c r="D1" s="484"/>
      <c r="E1" s="484"/>
      <c r="F1" s="484"/>
      <c r="G1" s="490" t="s">
        <v>163</v>
      </c>
      <c r="H1" s="488"/>
      <c r="I1" s="488"/>
      <c r="J1" s="488"/>
      <c r="K1" s="488"/>
      <c r="L1" s="488"/>
      <c r="M1" s="488"/>
      <c r="N1" s="488"/>
      <c r="O1" s="488"/>
      <c r="P1" s="488"/>
      <c r="Q1" s="488"/>
      <c r="R1" s="488"/>
      <c r="S1" s="488"/>
      <c r="T1" s="487" t="s">
        <v>164</v>
      </c>
      <c r="U1" s="488"/>
      <c r="V1" s="488"/>
      <c r="W1" s="488"/>
      <c r="X1" s="488"/>
      <c r="Y1" s="488"/>
      <c r="Z1" s="488"/>
      <c r="AA1" s="488"/>
      <c r="AB1" s="488"/>
      <c r="AC1" s="488"/>
      <c r="AD1" s="488"/>
      <c r="AE1" s="488"/>
      <c r="AF1" s="488"/>
      <c r="AG1" s="488"/>
      <c r="AH1" s="488"/>
      <c r="AI1" s="488"/>
      <c r="AJ1" s="488"/>
      <c r="AK1" s="488"/>
      <c r="AL1" s="488"/>
      <c r="AM1" s="488"/>
      <c r="AN1" s="488"/>
      <c r="AO1" s="488"/>
      <c r="AP1" s="488"/>
      <c r="AQ1" s="488"/>
      <c r="AR1" s="488"/>
      <c r="AS1" s="488"/>
      <c r="AT1" s="488"/>
      <c r="AU1" s="488"/>
      <c r="AV1" s="488"/>
      <c r="AW1" s="489"/>
      <c r="AX1" s="481" t="s">
        <v>165</v>
      </c>
      <c r="AY1" s="477"/>
      <c r="AZ1" s="477"/>
      <c r="BA1" s="477"/>
      <c r="BB1" s="477"/>
      <c r="BC1" s="477"/>
      <c r="BD1" s="477"/>
      <c r="BE1" s="477"/>
      <c r="BF1" s="477"/>
      <c r="BG1" s="477"/>
      <c r="BH1" s="477"/>
      <c r="BI1" s="477"/>
      <c r="BJ1" s="477"/>
      <c r="BK1" s="477"/>
      <c r="BL1" s="477"/>
      <c r="BM1" s="477"/>
      <c r="BN1" s="477"/>
      <c r="BO1" s="477"/>
      <c r="BP1" s="477"/>
      <c r="BQ1" s="477"/>
      <c r="BR1" s="477"/>
      <c r="BS1" s="477"/>
      <c r="BT1" s="477"/>
      <c r="BU1" s="477"/>
      <c r="BV1" s="477"/>
      <c r="BW1" s="477"/>
      <c r="BX1" s="477"/>
      <c r="BY1" s="477"/>
      <c r="BZ1" s="477"/>
      <c r="CA1" s="477"/>
      <c r="CB1" s="480"/>
      <c r="CC1" s="479" t="s">
        <v>166</v>
      </c>
      <c r="CD1" s="477"/>
      <c r="CE1" s="477"/>
      <c r="CF1" s="477"/>
      <c r="CG1" s="477"/>
      <c r="CH1" s="477"/>
      <c r="CI1" s="477"/>
      <c r="CJ1" s="477"/>
      <c r="CK1" s="477"/>
      <c r="CL1" s="477"/>
      <c r="CM1" s="477"/>
      <c r="CN1" s="477"/>
      <c r="CO1" s="477"/>
      <c r="CP1" s="477"/>
      <c r="CQ1" s="477"/>
      <c r="CR1" s="477"/>
      <c r="CS1" s="477"/>
      <c r="CT1" s="477"/>
      <c r="CU1" s="477"/>
      <c r="CV1" s="477"/>
      <c r="CW1" s="477"/>
      <c r="CX1" s="477"/>
      <c r="CY1" s="477"/>
      <c r="CZ1" s="477"/>
      <c r="DA1" s="477"/>
      <c r="DB1" s="477"/>
      <c r="DC1" s="477"/>
      <c r="DD1" s="477"/>
      <c r="DE1" s="477"/>
      <c r="DF1" s="477"/>
      <c r="DG1" s="479" t="s">
        <v>167</v>
      </c>
      <c r="DH1" s="477"/>
      <c r="DI1" s="477"/>
      <c r="DJ1" s="477"/>
      <c r="DK1" s="477"/>
      <c r="DL1" s="477"/>
      <c r="DM1" s="477"/>
      <c r="DN1" s="477"/>
      <c r="DO1" s="477"/>
      <c r="DP1" s="477"/>
      <c r="DQ1" s="477"/>
      <c r="DR1" s="477"/>
      <c r="DS1" s="477"/>
      <c r="DT1" s="477"/>
      <c r="DU1" s="477"/>
      <c r="DV1" s="477"/>
      <c r="DW1" s="477"/>
      <c r="DX1" s="477"/>
      <c r="DY1" s="477"/>
      <c r="DZ1" s="477"/>
      <c r="EA1" s="477"/>
      <c r="EB1" s="477"/>
      <c r="EC1" s="477"/>
      <c r="ED1" s="477"/>
      <c r="EE1" s="477"/>
      <c r="EF1" s="477"/>
      <c r="EG1" s="477"/>
      <c r="EH1" s="477"/>
      <c r="EI1" s="477"/>
      <c r="EJ1" s="477"/>
      <c r="EK1" s="477"/>
      <c r="EL1" s="479" t="s">
        <v>168</v>
      </c>
      <c r="EM1" s="477"/>
      <c r="EN1" s="477"/>
      <c r="EO1" s="477"/>
      <c r="EP1" s="477"/>
      <c r="EQ1" s="477"/>
      <c r="ER1" s="477"/>
      <c r="ES1" s="477"/>
      <c r="ET1" s="477"/>
      <c r="EU1" s="477"/>
      <c r="EV1" s="477"/>
      <c r="EW1" s="477"/>
      <c r="EX1" s="477"/>
      <c r="EY1" s="477"/>
      <c r="EZ1" s="477"/>
      <c r="FA1" s="477"/>
      <c r="FB1" s="477"/>
      <c r="FC1" s="477"/>
      <c r="FD1" s="477"/>
      <c r="FE1" s="477"/>
      <c r="FF1" s="477"/>
      <c r="FG1" s="477"/>
      <c r="FH1" s="477"/>
      <c r="FI1" s="477"/>
      <c r="FJ1" s="477"/>
      <c r="FK1" s="477"/>
      <c r="FL1" s="477"/>
      <c r="FM1" s="477"/>
      <c r="FN1" s="477"/>
      <c r="FO1" s="477"/>
      <c r="FP1" s="477"/>
      <c r="FQ1" s="479" t="s">
        <v>169</v>
      </c>
      <c r="FR1" s="477"/>
      <c r="FS1" s="477"/>
      <c r="FT1" s="477"/>
      <c r="FU1" s="477"/>
      <c r="FV1" s="477"/>
      <c r="FW1" s="477"/>
      <c r="FX1" s="477"/>
      <c r="FY1" s="477"/>
      <c r="FZ1" s="477"/>
      <c r="GA1" s="477"/>
      <c r="GB1" s="477"/>
      <c r="GC1" s="477"/>
      <c r="GD1" s="477"/>
      <c r="GE1" s="477"/>
      <c r="GF1" s="477"/>
      <c r="GG1" s="477"/>
      <c r="GH1" s="477"/>
      <c r="GI1" s="477"/>
      <c r="GJ1" s="477"/>
      <c r="GK1" s="477"/>
      <c r="GL1" s="477"/>
      <c r="GM1" s="477"/>
      <c r="GN1" s="477"/>
      <c r="GO1" s="477"/>
      <c r="GP1" s="477"/>
      <c r="GQ1" s="477"/>
      <c r="GR1" s="477"/>
      <c r="GS1" s="479" t="s">
        <v>170</v>
      </c>
      <c r="GT1" s="477"/>
      <c r="GU1" s="477"/>
      <c r="GV1" s="477"/>
      <c r="GW1" s="477"/>
      <c r="GX1" s="477"/>
      <c r="GY1" s="477"/>
      <c r="GZ1" s="477"/>
      <c r="HA1" s="477"/>
      <c r="HB1" s="477"/>
      <c r="HC1" s="477"/>
      <c r="HD1" s="477"/>
      <c r="HE1" s="477"/>
      <c r="HF1" s="477"/>
      <c r="HG1" s="477"/>
      <c r="HH1" s="477"/>
      <c r="HI1" s="477"/>
      <c r="HJ1" s="477"/>
      <c r="HK1" s="477"/>
      <c r="HL1" s="477"/>
      <c r="HM1" s="477"/>
      <c r="HN1" s="477"/>
      <c r="HO1" s="477"/>
      <c r="HP1" s="477"/>
      <c r="HQ1" s="477"/>
      <c r="HR1" s="477"/>
      <c r="HS1" s="477"/>
      <c r="HT1" s="477"/>
      <c r="HU1" s="477"/>
      <c r="HV1" s="477"/>
      <c r="HW1" s="477"/>
      <c r="HX1" s="479" t="s">
        <v>171</v>
      </c>
      <c r="HY1" s="477"/>
      <c r="HZ1" s="477"/>
      <c r="IA1" s="477"/>
      <c r="IB1" s="477"/>
      <c r="IC1" s="477"/>
      <c r="ID1" s="477"/>
      <c r="IE1" s="477"/>
      <c r="IF1" s="477"/>
      <c r="IG1" s="477"/>
      <c r="IH1" s="477"/>
      <c r="II1" s="477"/>
      <c r="IJ1" s="477"/>
      <c r="IK1" s="477"/>
      <c r="IL1" s="477"/>
      <c r="IM1" s="477"/>
      <c r="IN1" s="477"/>
      <c r="IO1" s="477"/>
      <c r="IP1" s="477"/>
      <c r="IQ1" s="477"/>
      <c r="IR1" s="477"/>
      <c r="IS1" s="477"/>
      <c r="IT1" s="477"/>
      <c r="IU1" s="477"/>
      <c r="IV1" s="477"/>
      <c r="IW1" s="477"/>
      <c r="IX1" s="477"/>
      <c r="IY1" s="477"/>
      <c r="IZ1" s="477"/>
      <c r="JA1" s="477"/>
      <c r="JB1" s="479" t="s">
        <v>172</v>
      </c>
      <c r="JC1" s="477"/>
      <c r="JD1" s="477"/>
      <c r="JE1" s="477"/>
      <c r="JF1" s="477"/>
      <c r="JG1" s="477"/>
      <c r="JH1" s="477"/>
      <c r="JI1" s="477"/>
      <c r="JJ1" s="477"/>
      <c r="JK1" s="477"/>
      <c r="JL1" s="477"/>
      <c r="JM1" s="477"/>
      <c r="JN1" s="477"/>
      <c r="JO1" s="477"/>
      <c r="JP1" s="477"/>
      <c r="JQ1" s="477"/>
      <c r="JR1" s="477"/>
      <c r="JS1" s="477"/>
      <c r="JT1" s="477"/>
      <c r="JU1" s="477"/>
      <c r="JV1" s="477"/>
      <c r="JW1" s="477"/>
      <c r="JX1" s="477"/>
      <c r="JY1" s="477"/>
      <c r="JZ1" s="477"/>
      <c r="KA1" s="477"/>
      <c r="KB1" s="477"/>
      <c r="KC1" s="477"/>
      <c r="KD1" s="477"/>
      <c r="KE1" s="477"/>
      <c r="KF1" s="480"/>
      <c r="KG1" s="477" t="s">
        <v>173</v>
      </c>
      <c r="KH1" s="478"/>
      <c r="KI1" s="478"/>
      <c r="KJ1" s="478"/>
      <c r="KK1" s="478"/>
      <c r="KL1" s="478"/>
      <c r="KM1" s="478"/>
      <c r="KN1" s="478"/>
      <c r="KO1" s="478"/>
      <c r="KP1" s="478"/>
      <c r="KQ1" s="478"/>
      <c r="KR1" s="478"/>
      <c r="KS1" s="478"/>
      <c r="KT1" s="478"/>
      <c r="KU1" s="478"/>
      <c r="KV1" s="478"/>
      <c r="KW1" s="478"/>
      <c r="KX1" s="478"/>
      <c r="KY1" s="478"/>
      <c r="KZ1" s="478"/>
      <c r="LA1" s="478"/>
      <c r="LB1" s="478"/>
      <c r="LC1" s="478"/>
      <c r="LD1" s="478"/>
      <c r="LE1" s="478"/>
      <c r="LF1" s="478"/>
      <c r="LG1" s="478"/>
      <c r="LH1" s="478"/>
      <c r="LI1" s="478"/>
      <c r="LJ1" s="478"/>
    </row>
    <row r="2" spans="1:1486" ht="63.75" customHeight="1" x14ac:dyDescent="0.2">
      <c r="A2" s="447">
        <f>COUNTA(A5:F50)</f>
        <v>36</v>
      </c>
      <c r="B2" s="408"/>
      <c r="C2" s="408"/>
      <c r="D2" s="408"/>
      <c r="E2" s="408"/>
      <c r="F2" s="408"/>
      <c r="G2" s="413" t="s">
        <v>174</v>
      </c>
      <c r="H2" s="409" t="s">
        <v>175</v>
      </c>
      <c r="I2" s="409" t="s">
        <v>176</v>
      </c>
      <c r="J2" s="409" t="s">
        <v>177</v>
      </c>
      <c r="K2" s="409" t="s">
        <v>178</v>
      </c>
      <c r="L2" s="409" t="s">
        <v>179</v>
      </c>
      <c r="M2" s="409" t="s">
        <v>180</v>
      </c>
      <c r="N2" s="409" t="s">
        <v>174</v>
      </c>
      <c r="O2" s="409" t="s">
        <v>175</v>
      </c>
      <c r="P2" s="409" t="s">
        <v>176</v>
      </c>
      <c r="Q2" s="409" t="s">
        <v>177</v>
      </c>
      <c r="R2" s="409" t="s">
        <v>178</v>
      </c>
      <c r="S2" s="418" t="s">
        <v>179</v>
      </c>
      <c r="T2" s="415" t="s">
        <v>180</v>
      </c>
      <c r="U2" s="409" t="s">
        <v>174</v>
      </c>
      <c r="V2" s="409" t="s">
        <v>175</v>
      </c>
      <c r="W2" s="409" t="s">
        <v>176</v>
      </c>
      <c r="X2" s="409" t="s">
        <v>177</v>
      </c>
      <c r="Y2" s="409" t="s">
        <v>178</v>
      </c>
      <c r="Z2" s="409" t="s">
        <v>179</v>
      </c>
      <c r="AA2" s="409" t="s">
        <v>180</v>
      </c>
      <c r="AB2" s="409" t="s">
        <v>174</v>
      </c>
      <c r="AC2" s="409" t="s">
        <v>175</v>
      </c>
      <c r="AD2" s="409" t="s">
        <v>176</v>
      </c>
      <c r="AE2" s="409" t="s">
        <v>177</v>
      </c>
      <c r="AF2" s="409" t="s">
        <v>178</v>
      </c>
      <c r="AG2" s="409" t="s">
        <v>179</v>
      </c>
      <c r="AH2" s="409" t="s">
        <v>180</v>
      </c>
      <c r="AI2" s="409" t="s">
        <v>174</v>
      </c>
      <c r="AJ2" s="409" t="s">
        <v>175</v>
      </c>
      <c r="AK2" s="409" t="s">
        <v>176</v>
      </c>
      <c r="AL2" s="409" t="s">
        <v>177</v>
      </c>
      <c r="AM2" s="409" t="s">
        <v>178</v>
      </c>
      <c r="AN2" s="409" t="s">
        <v>179</v>
      </c>
      <c r="AO2" s="409" t="s">
        <v>180</v>
      </c>
      <c r="AP2" s="409" t="s">
        <v>174</v>
      </c>
      <c r="AQ2" s="409" t="s">
        <v>175</v>
      </c>
      <c r="AR2" s="409" t="s">
        <v>176</v>
      </c>
      <c r="AS2" s="409" t="s">
        <v>177</v>
      </c>
      <c r="AT2" s="409" t="s">
        <v>178</v>
      </c>
      <c r="AU2" s="409" t="s">
        <v>179</v>
      </c>
      <c r="AV2" s="409" t="s">
        <v>180</v>
      </c>
      <c r="AW2" s="420" t="s">
        <v>174</v>
      </c>
      <c r="AX2" s="423" t="s">
        <v>175</v>
      </c>
      <c r="AY2" s="409" t="s">
        <v>176</v>
      </c>
      <c r="AZ2" s="409" t="s">
        <v>177</v>
      </c>
      <c r="BA2" s="409" t="s">
        <v>178</v>
      </c>
      <c r="BB2" s="409" t="s">
        <v>179</v>
      </c>
      <c r="BC2" s="409" t="s">
        <v>180</v>
      </c>
      <c r="BD2" s="409" t="s">
        <v>174</v>
      </c>
      <c r="BE2" s="409" t="s">
        <v>175</v>
      </c>
      <c r="BF2" s="409" t="s">
        <v>176</v>
      </c>
      <c r="BG2" s="409" t="s">
        <v>177</v>
      </c>
      <c r="BH2" s="409" t="s">
        <v>178</v>
      </c>
      <c r="BI2" s="409" t="s">
        <v>179</v>
      </c>
      <c r="BJ2" s="409" t="s">
        <v>180</v>
      </c>
      <c r="BK2" s="409" t="s">
        <v>174</v>
      </c>
      <c r="BL2" s="409" t="s">
        <v>175</v>
      </c>
      <c r="BM2" s="409" t="s">
        <v>176</v>
      </c>
      <c r="BN2" s="409" t="s">
        <v>177</v>
      </c>
      <c r="BO2" s="409" t="s">
        <v>178</v>
      </c>
      <c r="BP2" s="409" t="s">
        <v>179</v>
      </c>
      <c r="BQ2" s="409" t="s">
        <v>180</v>
      </c>
      <c r="BR2" s="409" t="s">
        <v>174</v>
      </c>
      <c r="BS2" s="409" t="s">
        <v>175</v>
      </c>
      <c r="BT2" s="409" t="s">
        <v>176</v>
      </c>
      <c r="BU2" s="409" t="s">
        <v>177</v>
      </c>
      <c r="BV2" s="409" t="s">
        <v>178</v>
      </c>
      <c r="BW2" s="409" t="s">
        <v>179</v>
      </c>
      <c r="BX2" s="409" t="s">
        <v>180</v>
      </c>
      <c r="BY2" s="409" t="s">
        <v>174</v>
      </c>
      <c r="BZ2" s="409" t="s">
        <v>175</v>
      </c>
      <c r="CA2" s="409" t="s">
        <v>176</v>
      </c>
      <c r="CB2" s="418" t="s">
        <v>177</v>
      </c>
      <c r="CC2" s="415" t="s">
        <v>178</v>
      </c>
      <c r="CD2" s="409" t="s">
        <v>179</v>
      </c>
      <c r="CE2" s="409" t="s">
        <v>180</v>
      </c>
      <c r="CF2" s="409" t="s">
        <v>174</v>
      </c>
      <c r="CG2" s="409" t="s">
        <v>175</v>
      </c>
      <c r="CH2" s="409" t="s">
        <v>176</v>
      </c>
      <c r="CI2" s="409" t="s">
        <v>177</v>
      </c>
      <c r="CJ2" s="409" t="s">
        <v>178</v>
      </c>
      <c r="CK2" s="418" t="s">
        <v>179</v>
      </c>
      <c r="CL2" s="415" t="s">
        <v>180</v>
      </c>
      <c r="CM2" s="409" t="s">
        <v>174</v>
      </c>
      <c r="CN2" s="409" t="s">
        <v>175</v>
      </c>
      <c r="CO2" s="409" t="s">
        <v>176</v>
      </c>
      <c r="CP2" s="409" t="s">
        <v>177</v>
      </c>
      <c r="CQ2" s="409" t="s">
        <v>178</v>
      </c>
      <c r="CR2" s="409" t="s">
        <v>179</v>
      </c>
      <c r="CS2" s="409" t="s">
        <v>180</v>
      </c>
      <c r="CT2" s="409" t="s">
        <v>174</v>
      </c>
      <c r="CU2" s="409" t="s">
        <v>175</v>
      </c>
      <c r="CV2" s="409" t="s">
        <v>176</v>
      </c>
      <c r="CW2" s="409" t="s">
        <v>177</v>
      </c>
      <c r="CX2" s="409" t="s">
        <v>178</v>
      </c>
      <c r="CY2" s="409" t="s">
        <v>179</v>
      </c>
      <c r="CZ2" s="409" t="s">
        <v>180</v>
      </c>
      <c r="DA2" s="409" t="s">
        <v>174</v>
      </c>
      <c r="DB2" s="409" t="s">
        <v>175</v>
      </c>
      <c r="DC2" s="409" t="s">
        <v>176</v>
      </c>
      <c r="DD2" s="409" t="s">
        <v>177</v>
      </c>
      <c r="DE2" s="409" t="s">
        <v>178</v>
      </c>
      <c r="DF2" s="418" t="s">
        <v>179</v>
      </c>
      <c r="DG2" s="415" t="s">
        <v>180</v>
      </c>
      <c r="DH2" s="409" t="s">
        <v>174</v>
      </c>
      <c r="DI2" s="409" t="s">
        <v>175</v>
      </c>
      <c r="DJ2" s="409" t="s">
        <v>176</v>
      </c>
      <c r="DK2" s="409" t="s">
        <v>177</v>
      </c>
      <c r="DL2" s="409" t="s">
        <v>178</v>
      </c>
      <c r="DM2" s="409" t="s">
        <v>179</v>
      </c>
      <c r="DN2" s="409" t="s">
        <v>180</v>
      </c>
      <c r="DO2" s="418" t="s">
        <v>174</v>
      </c>
      <c r="DP2" s="409" t="s">
        <v>175</v>
      </c>
      <c r="DQ2" s="409" t="s">
        <v>176</v>
      </c>
      <c r="DR2" s="409" t="s">
        <v>177</v>
      </c>
      <c r="DS2" s="409" t="s">
        <v>178</v>
      </c>
      <c r="DT2" s="409" t="s">
        <v>179</v>
      </c>
      <c r="DU2" s="409" t="s">
        <v>180</v>
      </c>
      <c r="DV2" s="409" t="s">
        <v>174</v>
      </c>
      <c r="DW2" s="409" t="s">
        <v>175</v>
      </c>
      <c r="DX2" s="409" t="s">
        <v>176</v>
      </c>
      <c r="DY2" s="409" t="s">
        <v>177</v>
      </c>
      <c r="DZ2" s="409" t="s">
        <v>178</v>
      </c>
      <c r="EA2" s="409" t="s">
        <v>179</v>
      </c>
      <c r="EB2" s="409" t="s">
        <v>180</v>
      </c>
      <c r="EC2" s="409" t="s">
        <v>174</v>
      </c>
      <c r="ED2" s="409" t="s">
        <v>175</v>
      </c>
      <c r="EE2" s="409" t="s">
        <v>176</v>
      </c>
      <c r="EF2" s="409" t="s">
        <v>177</v>
      </c>
      <c r="EG2" s="409" t="s">
        <v>178</v>
      </c>
      <c r="EH2" s="409" t="s">
        <v>179</v>
      </c>
      <c r="EI2" s="409" t="s">
        <v>180</v>
      </c>
      <c r="EJ2" s="409" t="s">
        <v>174</v>
      </c>
      <c r="EK2" s="418" t="s">
        <v>175</v>
      </c>
      <c r="EL2" s="415" t="s">
        <v>176</v>
      </c>
      <c r="EM2" s="409" t="s">
        <v>177</v>
      </c>
      <c r="EN2" s="409" t="s">
        <v>178</v>
      </c>
      <c r="EO2" s="409" t="s">
        <v>179</v>
      </c>
      <c r="EP2" s="409" t="s">
        <v>180</v>
      </c>
      <c r="EQ2" s="409" t="s">
        <v>174</v>
      </c>
      <c r="ER2" s="409" t="s">
        <v>175</v>
      </c>
      <c r="ES2" s="409" t="s">
        <v>176</v>
      </c>
      <c r="ET2" s="418" t="s">
        <v>177</v>
      </c>
      <c r="EU2" s="409" t="s">
        <v>178</v>
      </c>
      <c r="EV2" s="409" t="s">
        <v>179</v>
      </c>
      <c r="EW2" s="409" t="s">
        <v>180</v>
      </c>
      <c r="EX2" s="409" t="s">
        <v>174</v>
      </c>
      <c r="EY2" s="409" t="s">
        <v>175</v>
      </c>
      <c r="EZ2" s="409" t="s">
        <v>176</v>
      </c>
      <c r="FA2" s="409" t="s">
        <v>177</v>
      </c>
      <c r="FB2" s="409" t="s">
        <v>178</v>
      </c>
      <c r="FC2" s="418" t="s">
        <v>179</v>
      </c>
      <c r="FD2" s="415" t="s">
        <v>180</v>
      </c>
      <c r="FE2" s="409" t="s">
        <v>174</v>
      </c>
      <c r="FF2" s="409" t="s">
        <v>175</v>
      </c>
      <c r="FG2" s="409" t="s">
        <v>176</v>
      </c>
      <c r="FH2" s="409" t="s">
        <v>177</v>
      </c>
      <c r="FI2" s="409" t="s">
        <v>178</v>
      </c>
      <c r="FJ2" s="409" t="s">
        <v>179</v>
      </c>
      <c r="FK2" s="409" t="s">
        <v>180</v>
      </c>
      <c r="FL2" s="409" t="s">
        <v>174</v>
      </c>
      <c r="FM2" s="409" t="s">
        <v>175</v>
      </c>
      <c r="FN2" s="409" t="s">
        <v>176</v>
      </c>
      <c r="FO2" s="409" t="s">
        <v>177</v>
      </c>
      <c r="FP2" s="418" t="s">
        <v>178</v>
      </c>
      <c r="FQ2" s="415" t="s">
        <v>179</v>
      </c>
      <c r="FR2" s="409" t="s">
        <v>180</v>
      </c>
      <c r="FS2" s="409" t="s">
        <v>174</v>
      </c>
      <c r="FT2" s="409" t="s">
        <v>175</v>
      </c>
      <c r="FU2" s="409" t="s">
        <v>176</v>
      </c>
      <c r="FV2" s="409" t="s">
        <v>177</v>
      </c>
      <c r="FW2" s="409" t="s">
        <v>178</v>
      </c>
      <c r="FX2" s="409" t="s">
        <v>179</v>
      </c>
      <c r="FY2" s="409" t="s">
        <v>180</v>
      </c>
      <c r="FZ2" s="409" t="s">
        <v>174</v>
      </c>
      <c r="GA2" s="409" t="s">
        <v>175</v>
      </c>
      <c r="GB2" s="409" t="s">
        <v>176</v>
      </c>
      <c r="GC2" s="409" t="s">
        <v>177</v>
      </c>
      <c r="GD2" s="409" t="s">
        <v>178</v>
      </c>
      <c r="GE2" s="409" t="s">
        <v>179</v>
      </c>
      <c r="GF2" s="409" t="s">
        <v>180</v>
      </c>
      <c r="GG2" s="418" t="s">
        <v>174</v>
      </c>
      <c r="GH2" s="409" t="s">
        <v>175</v>
      </c>
      <c r="GI2" s="409" t="s">
        <v>176</v>
      </c>
      <c r="GJ2" s="409" t="s">
        <v>177</v>
      </c>
      <c r="GK2" s="409" t="s">
        <v>178</v>
      </c>
      <c r="GL2" s="409" t="s">
        <v>179</v>
      </c>
      <c r="GM2" s="409" t="s">
        <v>180</v>
      </c>
      <c r="GN2" s="409" t="s">
        <v>174</v>
      </c>
      <c r="GO2" s="409" t="s">
        <v>175</v>
      </c>
      <c r="GP2" s="409" t="s">
        <v>176</v>
      </c>
      <c r="GQ2" s="409" t="s">
        <v>177</v>
      </c>
      <c r="GR2" s="418" t="s">
        <v>178</v>
      </c>
      <c r="GS2" s="415" t="s">
        <v>179</v>
      </c>
      <c r="GT2" s="409" t="s">
        <v>180</v>
      </c>
      <c r="GU2" s="409" t="s">
        <v>174</v>
      </c>
      <c r="GV2" s="409" t="s">
        <v>175</v>
      </c>
      <c r="GW2" s="409" t="s">
        <v>176</v>
      </c>
      <c r="GX2" s="409" t="s">
        <v>177</v>
      </c>
      <c r="GY2" s="409" t="s">
        <v>178</v>
      </c>
      <c r="GZ2" s="409" t="s">
        <v>179</v>
      </c>
      <c r="HA2" s="409" t="s">
        <v>180</v>
      </c>
      <c r="HB2" s="409" t="s">
        <v>174</v>
      </c>
      <c r="HC2" s="409" t="s">
        <v>175</v>
      </c>
      <c r="HD2" s="409" t="s">
        <v>176</v>
      </c>
      <c r="HE2" s="409" t="s">
        <v>177</v>
      </c>
      <c r="HF2" s="409" t="s">
        <v>178</v>
      </c>
      <c r="HG2" s="409" t="s">
        <v>179</v>
      </c>
      <c r="HH2" s="409" t="s">
        <v>180</v>
      </c>
      <c r="HI2" s="409" t="s">
        <v>174</v>
      </c>
      <c r="HJ2" s="409" t="s">
        <v>175</v>
      </c>
      <c r="HK2" s="409" t="s">
        <v>176</v>
      </c>
      <c r="HL2" s="418" t="s">
        <v>177</v>
      </c>
      <c r="HM2" s="409" t="s">
        <v>178</v>
      </c>
      <c r="HN2" s="409" t="s">
        <v>179</v>
      </c>
      <c r="HO2" s="409" t="s">
        <v>180</v>
      </c>
      <c r="HP2" s="409" t="s">
        <v>174</v>
      </c>
      <c r="HQ2" s="409" t="s">
        <v>175</v>
      </c>
      <c r="HR2" s="409" t="s">
        <v>176</v>
      </c>
      <c r="HS2" s="409" t="s">
        <v>177</v>
      </c>
      <c r="HT2" s="409" t="s">
        <v>178</v>
      </c>
      <c r="HU2" s="418" t="s">
        <v>179</v>
      </c>
      <c r="HV2" s="409" t="s">
        <v>180</v>
      </c>
      <c r="HW2" s="418" t="s">
        <v>174</v>
      </c>
      <c r="HX2" s="415" t="s">
        <v>175</v>
      </c>
      <c r="HY2" s="409" t="s">
        <v>176</v>
      </c>
      <c r="HZ2" s="409" t="s">
        <v>177</v>
      </c>
      <c r="IA2" s="409" t="s">
        <v>178</v>
      </c>
      <c r="IB2" s="409" t="s">
        <v>179</v>
      </c>
      <c r="IC2" s="409" t="s">
        <v>180</v>
      </c>
      <c r="ID2" s="409" t="s">
        <v>174</v>
      </c>
      <c r="IE2" s="409" t="s">
        <v>175</v>
      </c>
      <c r="IF2" s="409" t="s">
        <v>176</v>
      </c>
      <c r="IG2" s="409" t="s">
        <v>177</v>
      </c>
      <c r="IH2" s="409" t="s">
        <v>178</v>
      </c>
      <c r="II2" s="409" t="s">
        <v>179</v>
      </c>
      <c r="IJ2" s="409" t="s">
        <v>180</v>
      </c>
      <c r="IK2" s="409" t="s">
        <v>174</v>
      </c>
      <c r="IL2" s="409" t="s">
        <v>175</v>
      </c>
      <c r="IM2" s="409" t="s">
        <v>176</v>
      </c>
      <c r="IN2" s="409" t="s">
        <v>177</v>
      </c>
      <c r="IO2" s="409" t="s">
        <v>178</v>
      </c>
      <c r="IP2" s="409" t="s">
        <v>179</v>
      </c>
      <c r="IQ2" s="409" t="s">
        <v>180</v>
      </c>
      <c r="IR2" s="409" t="s">
        <v>174</v>
      </c>
      <c r="IS2" s="409" t="s">
        <v>175</v>
      </c>
      <c r="IT2" s="409" t="s">
        <v>176</v>
      </c>
      <c r="IU2" s="409" t="s">
        <v>177</v>
      </c>
      <c r="IV2" s="409" t="s">
        <v>178</v>
      </c>
      <c r="IW2" s="409" t="s">
        <v>179</v>
      </c>
      <c r="IX2" s="409" t="s">
        <v>180</v>
      </c>
      <c r="IY2" s="418" t="s">
        <v>174</v>
      </c>
      <c r="IZ2" s="409" t="s">
        <v>175</v>
      </c>
      <c r="JA2" s="418" t="s">
        <v>176</v>
      </c>
      <c r="JB2" s="415" t="s">
        <v>177</v>
      </c>
      <c r="JC2" s="409" t="s">
        <v>178</v>
      </c>
      <c r="JD2" s="409" t="s">
        <v>179</v>
      </c>
      <c r="JE2" s="409" t="s">
        <v>180</v>
      </c>
      <c r="JF2" s="409" t="s">
        <v>174</v>
      </c>
      <c r="JG2" s="409" t="s">
        <v>175</v>
      </c>
      <c r="JH2" s="409" t="s">
        <v>176</v>
      </c>
      <c r="JI2" s="409" t="s">
        <v>177</v>
      </c>
      <c r="JJ2" s="409" t="s">
        <v>178</v>
      </c>
      <c r="JK2" s="409" t="s">
        <v>179</v>
      </c>
      <c r="JL2" s="409" t="s">
        <v>180</v>
      </c>
      <c r="JM2" s="409" t="s">
        <v>174</v>
      </c>
      <c r="JN2" s="409" t="s">
        <v>175</v>
      </c>
      <c r="JO2" s="409" t="s">
        <v>176</v>
      </c>
      <c r="JP2" s="409" t="s">
        <v>177</v>
      </c>
      <c r="JQ2" s="409" t="s">
        <v>178</v>
      </c>
      <c r="JR2" s="409" t="s">
        <v>179</v>
      </c>
      <c r="JS2" s="409" t="s">
        <v>180</v>
      </c>
      <c r="JT2" s="409" t="s">
        <v>174</v>
      </c>
      <c r="JU2" s="409" t="s">
        <v>175</v>
      </c>
      <c r="JV2" s="409" t="s">
        <v>176</v>
      </c>
      <c r="JW2" s="409" t="s">
        <v>177</v>
      </c>
      <c r="JX2" s="409" t="s">
        <v>178</v>
      </c>
      <c r="JY2" s="409" t="s">
        <v>179</v>
      </c>
      <c r="JZ2" s="409" t="s">
        <v>180</v>
      </c>
      <c r="KA2" s="409" t="s">
        <v>174</v>
      </c>
      <c r="KB2" s="409" t="s">
        <v>175</v>
      </c>
      <c r="KC2" s="409" t="s">
        <v>176</v>
      </c>
      <c r="KD2" s="418" t="s">
        <v>177</v>
      </c>
      <c r="KE2" s="409" t="s">
        <v>178</v>
      </c>
      <c r="KF2" s="418" t="s">
        <v>179</v>
      </c>
      <c r="KG2" s="415" t="s">
        <v>180</v>
      </c>
      <c r="KH2" s="409" t="s">
        <v>174</v>
      </c>
      <c r="KI2" s="409" t="s">
        <v>175</v>
      </c>
      <c r="KJ2" s="409" t="s">
        <v>176</v>
      </c>
      <c r="KK2" s="409" t="s">
        <v>177</v>
      </c>
      <c r="KL2" s="409" t="s">
        <v>178</v>
      </c>
      <c r="KM2" s="418" t="s">
        <v>179</v>
      </c>
      <c r="KN2" s="409" t="s">
        <v>180</v>
      </c>
      <c r="KO2" s="409" t="s">
        <v>174</v>
      </c>
      <c r="KP2" s="409" t="s">
        <v>175</v>
      </c>
      <c r="KQ2" s="409" t="s">
        <v>176</v>
      </c>
      <c r="KR2" s="409" t="s">
        <v>177</v>
      </c>
      <c r="KS2" s="409" t="s">
        <v>178</v>
      </c>
      <c r="KT2" s="409" t="s">
        <v>179</v>
      </c>
      <c r="KU2" s="409" t="s">
        <v>180</v>
      </c>
      <c r="KV2" s="409" t="s">
        <v>174</v>
      </c>
      <c r="KW2" s="409" t="s">
        <v>175</v>
      </c>
      <c r="KX2" s="409" t="s">
        <v>176</v>
      </c>
      <c r="KY2" s="409" t="s">
        <v>177</v>
      </c>
      <c r="KZ2" s="409" t="s">
        <v>178</v>
      </c>
      <c r="LA2" s="409" t="s">
        <v>179</v>
      </c>
      <c r="LB2" s="409" t="s">
        <v>180</v>
      </c>
      <c r="LC2" s="409" t="s">
        <v>174</v>
      </c>
      <c r="LD2" s="409" t="s">
        <v>175</v>
      </c>
      <c r="LE2" s="409" t="s">
        <v>176</v>
      </c>
      <c r="LF2" s="409" t="s">
        <v>177</v>
      </c>
      <c r="LG2" s="409" t="s">
        <v>178</v>
      </c>
      <c r="LH2" s="409" t="s">
        <v>179</v>
      </c>
      <c r="LI2" s="409" t="s">
        <v>180</v>
      </c>
      <c r="LJ2" s="418" t="s">
        <v>174</v>
      </c>
      <c r="LK2" s="415" t="s">
        <v>175</v>
      </c>
      <c r="LL2" s="409" t="s">
        <v>176</v>
      </c>
      <c r="LM2" s="409" t="s">
        <v>177</v>
      </c>
      <c r="LN2" s="409" t="s">
        <v>178</v>
      </c>
      <c r="LO2" s="409" t="s">
        <v>179</v>
      </c>
      <c r="LP2" s="409" t="s">
        <v>180</v>
      </c>
      <c r="LQ2" s="420" t="s">
        <v>174</v>
      </c>
      <c r="LR2" s="423" t="s">
        <v>175</v>
      </c>
      <c r="LS2" s="409" t="s">
        <v>176</v>
      </c>
      <c r="LT2" s="409" t="s">
        <v>177</v>
      </c>
      <c r="LU2" s="409" t="s">
        <v>178</v>
      </c>
      <c r="LV2" s="409" t="s">
        <v>179</v>
      </c>
      <c r="LW2" s="409" t="s">
        <v>180</v>
      </c>
      <c r="LX2" s="409" t="s">
        <v>174</v>
      </c>
      <c r="LY2" s="409" t="s">
        <v>175</v>
      </c>
      <c r="LZ2" s="409" t="s">
        <v>176</v>
      </c>
      <c r="MA2" s="409" t="s">
        <v>177</v>
      </c>
      <c r="MB2" s="409" t="s">
        <v>178</v>
      </c>
      <c r="MC2" s="409" t="s">
        <v>179</v>
      </c>
      <c r="MD2" s="409" t="s">
        <v>180</v>
      </c>
      <c r="ME2" s="409" t="s">
        <v>174</v>
      </c>
      <c r="MF2" s="409" t="s">
        <v>175</v>
      </c>
      <c r="MG2" s="409" t="s">
        <v>176</v>
      </c>
      <c r="MH2" s="409" t="s">
        <v>177</v>
      </c>
      <c r="MI2" s="409" t="s">
        <v>178</v>
      </c>
      <c r="MJ2" s="409" t="s">
        <v>179</v>
      </c>
      <c r="MK2" s="409" t="s">
        <v>180</v>
      </c>
      <c r="ML2" s="409" t="s">
        <v>174</v>
      </c>
      <c r="MM2" s="409" t="s">
        <v>175</v>
      </c>
      <c r="MN2" s="409" t="s">
        <v>176</v>
      </c>
      <c r="MO2" s="409" t="s">
        <v>177</v>
      </c>
      <c r="MP2" s="409" t="s">
        <v>178</v>
      </c>
      <c r="MQ2" s="409" t="s">
        <v>179</v>
      </c>
      <c r="MR2" s="409" t="s">
        <v>180</v>
      </c>
      <c r="MS2" s="409" t="s">
        <v>174</v>
      </c>
      <c r="MT2" s="409" t="s">
        <v>175</v>
      </c>
      <c r="MU2" s="409" t="s">
        <v>176</v>
      </c>
      <c r="MV2" s="418" t="s">
        <v>177</v>
      </c>
      <c r="MW2" s="415" t="s">
        <v>178</v>
      </c>
      <c r="MX2" s="409" t="s">
        <v>179</v>
      </c>
      <c r="MY2" s="409" t="s">
        <v>180</v>
      </c>
      <c r="MZ2" s="409" t="s">
        <v>174</v>
      </c>
      <c r="NA2" s="409" t="s">
        <v>175</v>
      </c>
      <c r="NB2" s="409" t="s">
        <v>176</v>
      </c>
      <c r="NC2" s="409" t="s">
        <v>177</v>
      </c>
      <c r="ND2" s="409" t="s">
        <v>178</v>
      </c>
      <c r="NE2" s="418" t="s">
        <v>179</v>
      </c>
      <c r="NF2" s="415" t="s">
        <v>180</v>
      </c>
      <c r="NG2" s="409" t="s">
        <v>174</v>
      </c>
      <c r="NH2" s="409" t="s">
        <v>175</v>
      </c>
      <c r="NI2" s="409" t="s">
        <v>176</v>
      </c>
      <c r="NJ2" s="409" t="s">
        <v>177</v>
      </c>
      <c r="NK2" s="409" t="s">
        <v>178</v>
      </c>
      <c r="NL2" s="409" t="s">
        <v>179</v>
      </c>
      <c r="NM2" s="409" t="s">
        <v>180</v>
      </c>
      <c r="NN2" s="409" t="s">
        <v>174</v>
      </c>
      <c r="NO2" s="409" t="s">
        <v>175</v>
      </c>
      <c r="NP2" s="409" t="s">
        <v>176</v>
      </c>
      <c r="NQ2" s="409" t="s">
        <v>177</v>
      </c>
      <c r="NR2" s="409" t="s">
        <v>178</v>
      </c>
      <c r="NS2" s="409" t="s">
        <v>179</v>
      </c>
      <c r="NT2" s="409" t="s">
        <v>180</v>
      </c>
      <c r="NU2" s="409" t="s">
        <v>174</v>
      </c>
      <c r="NV2" s="409" t="s">
        <v>175</v>
      </c>
      <c r="NW2" s="409" t="s">
        <v>176</v>
      </c>
      <c r="NX2" s="409" t="s">
        <v>177</v>
      </c>
      <c r="NY2" s="409" t="s">
        <v>178</v>
      </c>
      <c r="NZ2" s="409" t="s">
        <v>179</v>
      </c>
      <c r="OA2" s="409" t="s">
        <v>180</v>
      </c>
      <c r="OB2" s="409" t="s">
        <v>174</v>
      </c>
      <c r="OC2" s="409" t="s">
        <v>175</v>
      </c>
      <c r="OD2" s="409" t="s">
        <v>176</v>
      </c>
      <c r="OE2" s="409" t="s">
        <v>177</v>
      </c>
      <c r="OF2" s="409" t="s">
        <v>178</v>
      </c>
      <c r="OG2" s="409" t="s">
        <v>179</v>
      </c>
      <c r="OH2" s="409" t="s">
        <v>180</v>
      </c>
      <c r="OI2" s="420" t="s">
        <v>174</v>
      </c>
      <c r="OJ2" s="423" t="s">
        <v>175</v>
      </c>
      <c r="OK2" s="409" t="s">
        <v>176</v>
      </c>
      <c r="OL2" s="409" t="s">
        <v>177</v>
      </c>
      <c r="OM2" s="409" t="s">
        <v>178</v>
      </c>
      <c r="ON2" s="409" t="s">
        <v>179</v>
      </c>
      <c r="OO2" s="409" t="s">
        <v>180</v>
      </c>
      <c r="OP2" s="409" t="s">
        <v>174</v>
      </c>
      <c r="OQ2" s="409" t="s">
        <v>175</v>
      </c>
      <c r="OR2" s="409" t="s">
        <v>176</v>
      </c>
      <c r="OS2" s="409" t="s">
        <v>177</v>
      </c>
      <c r="OT2" s="409" t="s">
        <v>178</v>
      </c>
      <c r="OU2" s="409" t="s">
        <v>179</v>
      </c>
      <c r="OV2" s="409" t="s">
        <v>180</v>
      </c>
      <c r="OW2" s="409" t="s">
        <v>174</v>
      </c>
      <c r="OX2" s="409" t="s">
        <v>175</v>
      </c>
      <c r="OY2" s="409" t="s">
        <v>176</v>
      </c>
      <c r="OZ2" s="409" t="s">
        <v>177</v>
      </c>
      <c r="PA2" s="409" t="s">
        <v>178</v>
      </c>
      <c r="PB2" s="409" t="s">
        <v>179</v>
      </c>
      <c r="PC2" s="409" t="s">
        <v>180</v>
      </c>
      <c r="PD2" s="409" t="s">
        <v>174</v>
      </c>
      <c r="PE2" s="409" t="s">
        <v>175</v>
      </c>
      <c r="PF2" s="409" t="s">
        <v>176</v>
      </c>
      <c r="PG2" s="409" t="s">
        <v>177</v>
      </c>
      <c r="PH2" s="409" t="s">
        <v>178</v>
      </c>
      <c r="PI2" s="409" t="s">
        <v>179</v>
      </c>
      <c r="PJ2" s="409" t="s">
        <v>180</v>
      </c>
      <c r="PK2" s="409" t="s">
        <v>174</v>
      </c>
      <c r="PL2" s="409" t="s">
        <v>175</v>
      </c>
      <c r="PM2" s="409" t="s">
        <v>176</v>
      </c>
      <c r="PN2" s="418" t="s">
        <v>177</v>
      </c>
      <c r="PO2" s="415" t="s">
        <v>178</v>
      </c>
      <c r="PP2" s="409" t="s">
        <v>179</v>
      </c>
      <c r="PQ2" s="409" t="s">
        <v>180</v>
      </c>
      <c r="PR2" s="409" t="s">
        <v>174</v>
      </c>
      <c r="PS2" s="409" t="s">
        <v>175</v>
      </c>
      <c r="PT2" s="409" t="s">
        <v>176</v>
      </c>
      <c r="PU2" s="409" t="s">
        <v>177</v>
      </c>
      <c r="PV2" s="409" t="s">
        <v>178</v>
      </c>
      <c r="PW2" s="418" t="s">
        <v>179</v>
      </c>
      <c r="PX2" s="415" t="s">
        <v>180</v>
      </c>
      <c r="PY2" s="409" t="s">
        <v>174</v>
      </c>
      <c r="PZ2" s="409" t="s">
        <v>175</v>
      </c>
      <c r="QA2" s="409" t="s">
        <v>176</v>
      </c>
      <c r="QB2" s="409" t="s">
        <v>177</v>
      </c>
      <c r="QC2" s="409" t="s">
        <v>178</v>
      </c>
      <c r="QD2" s="409" t="s">
        <v>179</v>
      </c>
      <c r="QE2" s="409" t="s">
        <v>180</v>
      </c>
      <c r="QF2" s="409" t="s">
        <v>174</v>
      </c>
      <c r="QG2" s="409" t="s">
        <v>175</v>
      </c>
      <c r="QH2" s="409" t="s">
        <v>176</v>
      </c>
      <c r="QI2" s="409" t="s">
        <v>177</v>
      </c>
      <c r="QJ2" s="409" t="s">
        <v>178</v>
      </c>
      <c r="QK2" s="409" t="s">
        <v>179</v>
      </c>
      <c r="QL2" s="409" t="s">
        <v>180</v>
      </c>
      <c r="QM2" s="409" t="s">
        <v>174</v>
      </c>
      <c r="QN2" s="409" t="s">
        <v>175</v>
      </c>
      <c r="QO2" s="409" t="s">
        <v>176</v>
      </c>
      <c r="QP2" s="409" t="s">
        <v>177</v>
      </c>
      <c r="QQ2" s="409" t="s">
        <v>178</v>
      </c>
      <c r="QR2" s="409" t="s">
        <v>179</v>
      </c>
      <c r="QS2" s="409" t="s">
        <v>180</v>
      </c>
      <c r="QT2" s="409" t="s">
        <v>174</v>
      </c>
      <c r="QU2" s="409" t="s">
        <v>175</v>
      </c>
      <c r="QV2" s="409" t="s">
        <v>176</v>
      </c>
      <c r="QW2" s="409" t="s">
        <v>177</v>
      </c>
      <c r="QX2" s="409" t="s">
        <v>178</v>
      </c>
      <c r="QY2" s="409" t="s">
        <v>179</v>
      </c>
      <c r="QZ2" s="409" t="s">
        <v>180</v>
      </c>
      <c r="RA2" s="420" t="s">
        <v>174</v>
      </c>
      <c r="RB2" s="423" t="s">
        <v>175</v>
      </c>
      <c r="RC2" s="409" t="s">
        <v>176</v>
      </c>
      <c r="RD2" s="409" t="s">
        <v>177</v>
      </c>
      <c r="RE2" s="409" t="s">
        <v>178</v>
      </c>
      <c r="RF2" s="409" t="s">
        <v>179</v>
      </c>
      <c r="RG2" s="409" t="s">
        <v>180</v>
      </c>
      <c r="RH2" s="409" t="s">
        <v>174</v>
      </c>
      <c r="RI2" s="409" t="s">
        <v>175</v>
      </c>
      <c r="RJ2" s="409" t="s">
        <v>176</v>
      </c>
      <c r="RK2" s="409" t="s">
        <v>177</v>
      </c>
      <c r="RL2" s="409" t="s">
        <v>178</v>
      </c>
      <c r="RM2" s="409" t="s">
        <v>179</v>
      </c>
      <c r="RN2" s="409" t="s">
        <v>180</v>
      </c>
      <c r="RO2" s="409" t="s">
        <v>174</v>
      </c>
      <c r="RP2" s="409" t="s">
        <v>175</v>
      </c>
      <c r="RQ2" s="409" t="s">
        <v>176</v>
      </c>
      <c r="RR2" s="409" t="s">
        <v>177</v>
      </c>
      <c r="RS2" s="409" t="s">
        <v>178</v>
      </c>
      <c r="RT2" s="409" t="s">
        <v>179</v>
      </c>
      <c r="RU2" s="409" t="s">
        <v>180</v>
      </c>
      <c r="RV2" s="409" t="s">
        <v>174</v>
      </c>
      <c r="RW2" s="409" t="s">
        <v>175</v>
      </c>
      <c r="RX2" s="409" t="s">
        <v>176</v>
      </c>
      <c r="RY2" s="409" t="s">
        <v>177</v>
      </c>
      <c r="RZ2" s="409" t="s">
        <v>178</v>
      </c>
      <c r="SA2" s="409" t="s">
        <v>179</v>
      </c>
      <c r="SB2" s="409" t="s">
        <v>180</v>
      </c>
      <c r="SC2" s="409" t="s">
        <v>174</v>
      </c>
      <c r="SD2" s="409" t="s">
        <v>175</v>
      </c>
      <c r="SE2" s="409" t="s">
        <v>176</v>
      </c>
      <c r="SF2" s="418" t="s">
        <v>177</v>
      </c>
      <c r="SG2" s="415" t="s">
        <v>178</v>
      </c>
      <c r="SH2" s="409" t="s">
        <v>179</v>
      </c>
      <c r="SI2" s="409" t="s">
        <v>180</v>
      </c>
      <c r="SJ2" s="409" t="s">
        <v>174</v>
      </c>
      <c r="SK2" s="409" t="s">
        <v>175</v>
      </c>
      <c r="SL2" s="409" t="s">
        <v>176</v>
      </c>
      <c r="SM2" s="409" t="s">
        <v>177</v>
      </c>
      <c r="SN2" s="409" t="s">
        <v>178</v>
      </c>
      <c r="SO2" s="418" t="s">
        <v>179</v>
      </c>
      <c r="SP2" s="415" t="s">
        <v>180</v>
      </c>
      <c r="SQ2" s="409" t="s">
        <v>174</v>
      </c>
      <c r="SR2" s="409" t="s">
        <v>175</v>
      </c>
      <c r="SS2" s="409" t="s">
        <v>176</v>
      </c>
      <c r="ST2" s="409" t="s">
        <v>177</v>
      </c>
      <c r="SU2" s="409" t="s">
        <v>178</v>
      </c>
      <c r="SV2" s="409" t="s">
        <v>179</v>
      </c>
      <c r="SW2" s="409" t="s">
        <v>180</v>
      </c>
      <c r="SX2" s="409" t="s">
        <v>174</v>
      </c>
      <c r="SY2" s="409" t="s">
        <v>175</v>
      </c>
      <c r="SZ2" s="409" t="s">
        <v>176</v>
      </c>
      <c r="TA2" s="409" t="s">
        <v>177</v>
      </c>
      <c r="TB2" s="409" t="s">
        <v>178</v>
      </c>
      <c r="TC2" s="409" t="s">
        <v>179</v>
      </c>
      <c r="TD2" s="409" t="s">
        <v>180</v>
      </c>
      <c r="TE2" s="409" t="s">
        <v>174</v>
      </c>
      <c r="TF2" s="409" t="s">
        <v>175</v>
      </c>
      <c r="TG2" s="409" t="s">
        <v>176</v>
      </c>
      <c r="TH2" s="409" t="s">
        <v>177</v>
      </c>
      <c r="TI2" s="409" t="s">
        <v>178</v>
      </c>
      <c r="TJ2" s="409" t="s">
        <v>179</v>
      </c>
      <c r="TK2" s="409" t="s">
        <v>180</v>
      </c>
      <c r="TL2" s="409" t="s">
        <v>174</v>
      </c>
      <c r="TM2" s="409" t="s">
        <v>175</v>
      </c>
      <c r="TN2" s="409" t="s">
        <v>176</v>
      </c>
      <c r="TO2" s="409" t="s">
        <v>177</v>
      </c>
      <c r="TP2" s="409" t="s">
        <v>178</v>
      </c>
      <c r="TQ2" s="409" t="s">
        <v>179</v>
      </c>
      <c r="TR2" s="409" t="s">
        <v>180</v>
      </c>
      <c r="TS2" s="420" t="s">
        <v>174</v>
      </c>
      <c r="TT2" s="423" t="s">
        <v>175</v>
      </c>
      <c r="TU2" s="409" t="s">
        <v>176</v>
      </c>
      <c r="TV2" s="409" t="s">
        <v>177</v>
      </c>
      <c r="TW2" s="409" t="s">
        <v>178</v>
      </c>
      <c r="TX2" s="409" t="s">
        <v>179</v>
      </c>
      <c r="TY2" s="409" t="s">
        <v>180</v>
      </c>
      <c r="TZ2" s="409" t="s">
        <v>174</v>
      </c>
      <c r="UA2" s="409" t="s">
        <v>175</v>
      </c>
      <c r="UB2" s="409" t="s">
        <v>176</v>
      </c>
      <c r="UC2" s="409" t="s">
        <v>177</v>
      </c>
      <c r="UD2" s="409" t="s">
        <v>178</v>
      </c>
      <c r="UE2" s="409" t="s">
        <v>179</v>
      </c>
      <c r="UF2" s="409" t="s">
        <v>180</v>
      </c>
      <c r="UG2" s="409" t="s">
        <v>174</v>
      </c>
      <c r="UH2" s="409" t="s">
        <v>175</v>
      </c>
      <c r="UI2" s="409" t="s">
        <v>176</v>
      </c>
      <c r="UJ2" s="409" t="s">
        <v>177</v>
      </c>
      <c r="UK2" s="409" t="s">
        <v>178</v>
      </c>
      <c r="UL2" s="409" t="s">
        <v>179</v>
      </c>
      <c r="UM2" s="409" t="s">
        <v>180</v>
      </c>
      <c r="UN2" s="409" t="s">
        <v>174</v>
      </c>
      <c r="UO2" s="409" t="s">
        <v>175</v>
      </c>
      <c r="UP2" s="409" t="s">
        <v>176</v>
      </c>
      <c r="UQ2" s="409" t="s">
        <v>177</v>
      </c>
      <c r="UR2" s="409" t="s">
        <v>178</v>
      </c>
      <c r="US2" s="409" t="s">
        <v>179</v>
      </c>
      <c r="UT2" s="409" t="s">
        <v>180</v>
      </c>
      <c r="UU2" s="409" t="s">
        <v>174</v>
      </c>
      <c r="UV2" s="409" t="s">
        <v>175</v>
      </c>
      <c r="UW2" s="409" t="s">
        <v>176</v>
      </c>
      <c r="UX2" s="418" t="s">
        <v>177</v>
      </c>
      <c r="UY2" s="415" t="s">
        <v>178</v>
      </c>
      <c r="UZ2" s="409" t="s">
        <v>179</v>
      </c>
      <c r="VA2" s="409" t="s">
        <v>180</v>
      </c>
      <c r="VB2" s="409" t="s">
        <v>174</v>
      </c>
      <c r="VC2" s="409" t="s">
        <v>175</v>
      </c>
      <c r="VD2" s="409" t="s">
        <v>176</v>
      </c>
      <c r="VE2" s="409" t="s">
        <v>177</v>
      </c>
      <c r="VF2" s="409" t="s">
        <v>178</v>
      </c>
      <c r="VG2" s="418" t="s">
        <v>179</v>
      </c>
      <c r="VH2" s="415" t="s">
        <v>180</v>
      </c>
      <c r="VI2" s="409" t="s">
        <v>174</v>
      </c>
      <c r="VJ2" s="409" t="s">
        <v>175</v>
      </c>
      <c r="VK2" s="409" t="s">
        <v>176</v>
      </c>
      <c r="VL2" s="409" t="s">
        <v>177</v>
      </c>
      <c r="VM2" s="409" t="s">
        <v>178</v>
      </c>
      <c r="VN2" s="409" t="s">
        <v>179</v>
      </c>
      <c r="VO2" s="409" t="s">
        <v>180</v>
      </c>
      <c r="VP2" s="409" t="s">
        <v>174</v>
      </c>
      <c r="VQ2" s="409" t="s">
        <v>175</v>
      </c>
      <c r="VR2" s="409" t="s">
        <v>176</v>
      </c>
      <c r="VS2" s="409" t="s">
        <v>177</v>
      </c>
      <c r="VT2" s="409" t="s">
        <v>178</v>
      </c>
      <c r="VU2" s="409" t="s">
        <v>179</v>
      </c>
      <c r="VV2" s="409" t="s">
        <v>180</v>
      </c>
      <c r="VW2" s="409" t="s">
        <v>174</v>
      </c>
      <c r="VX2" s="409" t="s">
        <v>175</v>
      </c>
      <c r="VY2" s="409" t="s">
        <v>176</v>
      </c>
      <c r="VZ2" s="409" t="s">
        <v>177</v>
      </c>
      <c r="WA2" s="409" t="s">
        <v>178</v>
      </c>
      <c r="WB2" s="409" t="s">
        <v>179</v>
      </c>
      <c r="WC2" s="409" t="s">
        <v>180</v>
      </c>
      <c r="WD2" s="409" t="s">
        <v>174</v>
      </c>
      <c r="WE2" s="409" t="s">
        <v>175</v>
      </c>
      <c r="WF2" s="409" t="s">
        <v>176</v>
      </c>
      <c r="WG2" s="409" t="s">
        <v>177</v>
      </c>
      <c r="WH2" s="409" t="s">
        <v>178</v>
      </c>
      <c r="WI2" s="409" t="s">
        <v>179</v>
      </c>
      <c r="WJ2" s="409" t="s">
        <v>180</v>
      </c>
      <c r="WK2" s="420" t="s">
        <v>174</v>
      </c>
      <c r="WL2" s="423" t="s">
        <v>175</v>
      </c>
      <c r="WM2" s="409" t="s">
        <v>176</v>
      </c>
      <c r="WN2" s="409" t="s">
        <v>177</v>
      </c>
      <c r="WO2" s="409" t="s">
        <v>178</v>
      </c>
      <c r="WP2" s="409" t="s">
        <v>179</v>
      </c>
      <c r="WQ2" s="409" t="s">
        <v>180</v>
      </c>
      <c r="WR2" s="409" t="s">
        <v>174</v>
      </c>
      <c r="WS2" s="409" t="s">
        <v>175</v>
      </c>
      <c r="WT2" s="409" t="s">
        <v>176</v>
      </c>
      <c r="WU2" s="409" t="s">
        <v>177</v>
      </c>
      <c r="WV2" s="409" t="s">
        <v>178</v>
      </c>
      <c r="WW2" s="409" t="s">
        <v>179</v>
      </c>
      <c r="WX2" s="409" t="s">
        <v>180</v>
      </c>
      <c r="WY2" s="409" t="s">
        <v>174</v>
      </c>
      <c r="WZ2" s="409" t="s">
        <v>175</v>
      </c>
      <c r="XA2" s="409" t="s">
        <v>176</v>
      </c>
      <c r="XB2" s="409" t="s">
        <v>177</v>
      </c>
      <c r="XC2" s="409" t="s">
        <v>178</v>
      </c>
      <c r="XD2" s="409" t="s">
        <v>179</v>
      </c>
      <c r="XE2" s="409" t="s">
        <v>180</v>
      </c>
      <c r="XF2" s="409" t="s">
        <v>174</v>
      </c>
      <c r="XG2" s="409" t="s">
        <v>175</v>
      </c>
      <c r="XH2" s="409" t="s">
        <v>176</v>
      </c>
      <c r="XI2" s="409" t="s">
        <v>177</v>
      </c>
      <c r="XJ2" s="409" t="s">
        <v>178</v>
      </c>
      <c r="XK2" s="409" t="s">
        <v>179</v>
      </c>
      <c r="XL2" s="409" t="s">
        <v>180</v>
      </c>
      <c r="XM2" s="409" t="s">
        <v>174</v>
      </c>
      <c r="XN2" s="409" t="s">
        <v>175</v>
      </c>
      <c r="XO2" s="409" t="s">
        <v>176</v>
      </c>
      <c r="XP2" s="418" t="s">
        <v>177</v>
      </c>
      <c r="XQ2" s="415" t="s">
        <v>178</v>
      </c>
      <c r="XR2" s="409" t="s">
        <v>179</v>
      </c>
      <c r="XS2" s="409" t="s">
        <v>180</v>
      </c>
      <c r="XT2" s="409" t="s">
        <v>174</v>
      </c>
      <c r="XU2" s="409" t="s">
        <v>175</v>
      </c>
      <c r="XV2" s="409" t="s">
        <v>176</v>
      </c>
      <c r="XW2" s="409" t="s">
        <v>177</v>
      </c>
      <c r="XX2" s="409" t="s">
        <v>178</v>
      </c>
      <c r="XY2" s="418" t="s">
        <v>179</v>
      </c>
      <c r="XZ2" s="415" t="s">
        <v>180</v>
      </c>
      <c r="YA2" s="409" t="s">
        <v>174</v>
      </c>
      <c r="YB2" s="409" t="s">
        <v>175</v>
      </c>
      <c r="YC2" s="409" t="s">
        <v>176</v>
      </c>
      <c r="YD2" s="409" t="s">
        <v>177</v>
      </c>
      <c r="YE2" s="409" t="s">
        <v>178</v>
      </c>
      <c r="YF2" s="409" t="s">
        <v>179</v>
      </c>
      <c r="YG2" s="409" t="s">
        <v>180</v>
      </c>
      <c r="YH2" s="409" t="s">
        <v>174</v>
      </c>
      <c r="YI2" s="409" t="s">
        <v>175</v>
      </c>
      <c r="YJ2" s="409" t="s">
        <v>176</v>
      </c>
      <c r="YK2" s="409" t="s">
        <v>177</v>
      </c>
      <c r="YL2" s="409" t="s">
        <v>178</v>
      </c>
      <c r="YM2" s="409" t="s">
        <v>179</v>
      </c>
      <c r="YN2" s="409" t="s">
        <v>180</v>
      </c>
      <c r="YO2" s="409" t="s">
        <v>174</v>
      </c>
      <c r="YP2" s="409" t="s">
        <v>175</v>
      </c>
      <c r="YQ2" s="409" t="s">
        <v>176</v>
      </c>
      <c r="YR2" s="409" t="s">
        <v>177</v>
      </c>
      <c r="YS2" s="409" t="s">
        <v>178</v>
      </c>
      <c r="YT2" s="409" t="s">
        <v>179</v>
      </c>
      <c r="YU2" s="409" t="s">
        <v>180</v>
      </c>
      <c r="YV2" s="409" t="s">
        <v>174</v>
      </c>
      <c r="YW2" s="409" t="s">
        <v>175</v>
      </c>
      <c r="YX2" s="409" t="s">
        <v>176</v>
      </c>
      <c r="YY2" s="409" t="s">
        <v>177</v>
      </c>
      <c r="YZ2" s="409" t="s">
        <v>178</v>
      </c>
      <c r="ZA2" s="409" t="s">
        <v>179</v>
      </c>
      <c r="ZB2" s="409" t="s">
        <v>180</v>
      </c>
      <c r="ZC2" s="420" t="s">
        <v>174</v>
      </c>
      <c r="ZD2" s="423" t="s">
        <v>175</v>
      </c>
      <c r="ZE2" s="409" t="s">
        <v>176</v>
      </c>
      <c r="ZF2" s="409" t="s">
        <v>177</v>
      </c>
      <c r="ZG2" s="409" t="s">
        <v>178</v>
      </c>
      <c r="ZH2" s="409" t="s">
        <v>179</v>
      </c>
      <c r="ZI2" s="409" t="s">
        <v>180</v>
      </c>
      <c r="ZJ2" s="409" t="s">
        <v>174</v>
      </c>
      <c r="ZK2" s="409" t="s">
        <v>175</v>
      </c>
      <c r="ZL2" s="409" t="s">
        <v>176</v>
      </c>
      <c r="ZM2" s="409" t="s">
        <v>177</v>
      </c>
      <c r="ZN2" s="409" t="s">
        <v>178</v>
      </c>
      <c r="ZO2" s="409" t="s">
        <v>179</v>
      </c>
      <c r="ZP2" s="409" t="s">
        <v>180</v>
      </c>
      <c r="ZQ2" s="409" t="s">
        <v>174</v>
      </c>
      <c r="ZR2" s="409" t="s">
        <v>175</v>
      </c>
      <c r="ZS2" s="409" t="s">
        <v>176</v>
      </c>
      <c r="ZT2" s="409" t="s">
        <v>177</v>
      </c>
      <c r="ZU2" s="409" t="s">
        <v>178</v>
      </c>
      <c r="ZV2" s="409" t="s">
        <v>179</v>
      </c>
      <c r="ZW2" s="409" t="s">
        <v>180</v>
      </c>
      <c r="ZX2" s="409" t="s">
        <v>174</v>
      </c>
      <c r="ZY2" s="409" t="s">
        <v>175</v>
      </c>
      <c r="ZZ2" s="409" t="s">
        <v>176</v>
      </c>
      <c r="AAA2" s="409" t="s">
        <v>177</v>
      </c>
      <c r="AAB2" s="409" t="s">
        <v>178</v>
      </c>
      <c r="AAC2" s="409" t="s">
        <v>179</v>
      </c>
      <c r="AAD2" s="409" t="s">
        <v>180</v>
      </c>
      <c r="AAE2" s="409" t="s">
        <v>174</v>
      </c>
      <c r="AAF2" s="409" t="s">
        <v>175</v>
      </c>
      <c r="AAG2" s="409" t="s">
        <v>176</v>
      </c>
      <c r="AAH2" s="418" t="s">
        <v>177</v>
      </c>
      <c r="AAI2" s="415" t="s">
        <v>178</v>
      </c>
      <c r="AAJ2" s="409" t="s">
        <v>179</v>
      </c>
      <c r="AAK2" s="409" t="s">
        <v>180</v>
      </c>
      <c r="AAL2" s="409" t="s">
        <v>174</v>
      </c>
      <c r="AAM2" s="409" t="s">
        <v>175</v>
      </c>
      <c r="AAN2" s="409" t="s">
        <v>176</v>
      </c>
      <c r="AAO2" s="409" t="s">
        <v>177</v>
      </c>
      <c r="AAP2" s="409" t="s">
        <v>178</v>
      </c>
      <c r="AAQ2" s="418" t="s">
        <v>179</v>
      </c>
      <c r="AAR2" s="415" t="s">
        <v>180</v>
      </c>
      <c r="AAS2" s="409" t="s">
        <v>174</v>
      </c>
      <c r="AAT2" s="409" t="s">
        <v>175</v>
      </c>
      <c r="AAU2" s="409" t="s">
        <v>176</v>
      </c>
      <c r="AAV2" s="409" t="s">
        <v>177</v>
      </c>
      <c r="AAW2" s="409" t="s">
        <v>178</v>
      </c>
      <c r="AAX2" s="409" t="s">
        <v>179</v>
      </c>
      <c r="AAY2" s="409" t="s">
        <v>180</v>
      </c>
      <c r="AAZ2" s="409" t="s">
        <v>174</v>
      </c>
      <c r="ABA2" s="409" t="s">
        <v>175</v>
      </c>
      <c r="ABB2" s="409" t="s">
        <v>176</v>
      </c>
      <c r="ABC2" s="409" t="s">
        <v>177</v>
      </c>
      <c r="ABD2" s="409" t="s">
        <v>178</v>
      </c>
      <c r="ABE2" s="409" t="s">
        <v>179</v>
      </c>
      <c r="ABF2" s="409" t="s">
        <v>180</v>
      </c>
      <c r="ABG2" s="409" t="s">
        <v>174</v>
      </c>
      <c r="ABH2" s="409" t="s">
        <v>175</v>
      </c>
      <c r="ABI2" s="409" t="s">
        <v>176</v>
      </c>
      <c r="ABJ2" s="409" t="s">
        <v>177</v>
      </c>
      <c r="ABK2" s="409" t="s">
        <v>178</v>
      </c>
      <c r="ABL2" s="409" t="s">
        <v>179</v>
      </c>
      <c r="ABM2" s="409" t="s">
        <v>180</v>
      </c>
      <c r="ABN2" s="409" t="s">
        <v>174</v>
      </c>
      <c r="ABO2" s="409" t="s">
        <v>175</v>
      </c>
      <c r="ABP2" s="409" t="s">
        <v>176</v>
      </c>
      <c r="ABQ2" s="409" t="s">
        <v>177</v>
      </c>
      <c r="ABR2" s="409" t="s">
        <v>178</v>
      </c>
      <c r="ABS2" s="409" t="s">
        <v>179</v>
      </c>
      <c r="ABT2" s="409" t="s">
        <v>180</v>
      </c>
      <c r="ABU2" s="420" t="s">
        <v>174</v>
      </c>
      <c r="ABV2" s="423" t="s">
        <v>175</v>
      </c>
      <c r="ABW2" s="409" t="s">
        <v>176</v>
      </c>
      <c r="ABX2" s="409" t="s">
        <v>177</v>
      </c>
      <c r="ABY2" s="409" t="s">
        <v>178</v>
      </c>
      <c r="ABZ2" s="409" t="s">
        <v>179</v>
      </c>
      <c r="ACA2" s="409" t="s">
        <v>180</v>
      </c>
      <c r="ACB2" s="409" t="s">
        <v>174</v>
      </c>
      <c r="ACC2" s="409" t="s">
        <v>175</v>
      </c>
      <c r="ACD2" s="409" t="s">
        <v>176</v>
      </c>
      <c r="ACE2" s="409" t="s">
        <v>177</v>
      </c>
      <c r="ACF2" s="409" t="s">
        <v>178</v>
      </c>
      <c r="ACG2" s="409" t="s">
        <v>179</v>
      </c>
      <c r="ACH2" s="409" t="s">
        <v>180</v>
      </c>
      <c r="ACI2" s="409" t="s">
        <v>174</v>
      </c>
      <c r="ACJ2" s="409" t="s">
        <v>175</v>
      </c>
      <c r="ACK2" s="409" t="s">
        <v>176</v>
      </c>
      <c r="ACL2" s="409" t="s">
        <v>177</v>
      </c>
      <c r="ACM2" s="409" t="s">
        <v>178</v>
      </c>
      <c r="ACN2" s="409" t="s">
        <v>179</v>
      </c>
      <c r="ACO2" s="409" t="s">
        <v>180</v>
      </c>
      <c r="ACP2" s="409" t="s">
        <v>174</v>
      </c>
      <c r="ACQ2" s="409" t="s">
        <v>175</v>
      </c>
      <c r="ACR2" s="409" t="s">
        <v>176</v>
      </c>
      <c r="ACS2" s="409" t="s">
        <v>177</v>
      </c>
      <c r="ACT2" s="409" t="s">
        <v>178</v>
      </c>
      <c r="ACU2" s="409" t="s">
        <v>179</v>
      </c>
      <c r="ACV2" s="409" t="s">
        <v>180</v>
      </c>
      <c r="ACW2" s="409" t="s">
        <v>174</v>
      </c>
      <c r="ACX2" s="409" t="s">
        <v>175</v>
      </c>
      <c r="ACY2" s="409" t="s">
        <v>176</v>
      </c>
      <c r="ACZ2" s="418" t="s">
        <v>177</v>
      </c>
      <c r="ADA2" s="415" t="s">
        <v>178</v>
      </c>
      <c r="ADB2" s="409" t="s">
        <v>179</v>
      </c>
      <c r="ADC2" s="409" t="s">
        <v>180</v>
      </c>
      <c r="ADD2" s="409" t="s">
        <v>174</v>
      </c>
      <c r="ADE2" s="409" t="s">
        <v>175</v>
      </c>
      <c r="ADF2" s="409" t="s">
        <v>176</v>
      </c>
      <c r="ADG2" s="409" t="s">
        <v>177</v>
      </c>
      <c r="ADH2" s="409" t="s">
        <v>178</v>
      </c>
      <c r="ADI2" s="418" t="s">
        <v>179</v>
      </c>
      <c r="ADJ2" s="415" t="s">
        <v>180</v>
      </c>
      <c r="ADK2" s="409" t="s">
        <v>174</v>
      </c>
      <c r="ADL2" s="409" t="s">
        <v>175</v>
      </c>
      <c r="ADM2" s="409" t="s">
        <v>176</v>
      </c>
      <c r="ADN2" s="409" t="s">
        <v>177</v>
      </c>
      <c r="ADO2" s="409" t="s">
        <v>178</v>
      </c>
      <c r="ADP2" s="409" t="s">
        <v>179</v>
      </c>
      <c r="ADQ2" s="409" t="s">
        <v>180</v>
      </c>
      <c r="ADR2" s="409" t="s">
        <v>174</v>
      </c>
      <c r="ADS2" s="409" t="s">
        <v>175</v>
      </c>
      <c r="ADT2" s="409" t="s">
        <v>176</v>
      </c>
      <c r="ADU2" s="409" t="s">
        <v>177</v>
      </c>
      <c r="ADV2" s="409" t="s">
        <v>178</v>
      </c>
      <c r="ADW2" s="409" t="s">
        <v>179</v>
      </c>
      <c r="ADX2" s="409" t="s">
        <v>180</v>
      </c>
      <c r="ADY2" s="409" t="s">
        <v>174</v>
      </c>
      <c r="ADZ2" s="409" t="s">
        <v>175</v>
      </c>
      <c r="AEA2" s="409" t="s">
        <v>176</v>
      </c>
      <c r="AEB2" s="409" t="s">
        <v>177</v>
      </c>
      <c r="AEC2" s="409" t="s">
        <v>178</v>
      </c>
      <c r="AED2" s="409" t="s">
        <v>179</v>
      </c>
      <c r="AEE2" s="409" t="s">
        <v>180</v>
      </c>
      <c r="AEF2" s="409" t="s">
        <v>174</v>
      </c>
      <c r="AEG2" s="409" t="s">
        <v>175</v>
      </c>
      <c r="AEH2" s="409" t="s">
        <v>176</v>
      </c>
      <c r="AEI2" s="409" t="s">
        <v>177</v>
      </c>
      <c r="AEJ2" s="409" t="s">
        <v>178</v>
      </c>
      <c r="AEK2" s="409" t="s">
        <v>179</v>
      </c>
      <c r="AEL2" s="409" t="s">
        <v>180</v>
      </c>
      <c r="AEM2" s="420" t="s">
        <v>174</v>
      </c>
      <c r="AEN2" s="423" t="s">
        <v>175</v>
      </c>
      <c r="AEO2" s="409" t="s">
        <v>176</v>
      </c>
      <c r="AEP2" s="409" t="s">
        <v>177</v>
      </c>
      <c r="AEQ2" s="409" t="s">
        <v>178</v>
      </c>
      <c r="AER2" s="409" t="s">
        <v>179</v>
      </c>
      <c r="AES2" s="409" t="s">
        <v>180</v>
      </c>
      <c r="AET2" s="409" t="s">
        <v>174</v>
      </c>
      <c r="AEU2" s="409" t="s">
        <v>175</v>
      </c>
      <c r="AEV2" s="409" t="s">
        <v>176</v>
      </c>
      <c r="AEW2" s="409" t="s">
        <v>177</v>
      </c>
      <c r="AEX2" s="409" t="s">
        <v>178</v>
      </c>
      <c r="AEY2" s="409" t="s">
        <v>179</v>
      </c>
      <c r="AEZ2" s="409" t="s">
        <v>180</v>
      </c>
      <c r="AFA2" s="409" t="s">
        <v>174</v>
      </c>
      <c r="AFB2" s="409" t="s">
        <v>175</v>
      </c>
      <c r="AFC2" s="409" t="s">
        <v>176</v>
      </c>
      <c r="AFD2" s="409" t="s">
        <v>177</v>
      </c>
      <c r="AFE2" s="409" t="s">
        <v>178</v>
      </c>
      <c r="AFF2" s="409" t="s">
        <v>179</v>
      </c>
      <c r="AFG2" s="409" t="s">
        <v>180</v>
      </c>
      <c r="AFH2" s="409" t="s">
        <v>174</v>
      </c>
      <c r="AFI2" s="409" t="s">
        <v>175</v>
      </c>
      <c r="AFJ2" s="409" t="s">
        <v>176</v>
      </c>
      <c r="AFK2" s="409" t="s">
        <v>177</v>
      </c>
      <c r="AFL2" s="409" t="s">
        <v>178</v>
      </c>
      <c r="AFM2" s="409" t="s">
        <v>179</v>
      </c>
      <c r="AFN2" s="409" t="s">
        <v>180</v>
      </c>
      <c r="AFO2" s="409" t="s">
        <v>174</v>
      </c>
      <c r="AFP2" s="409" t="s">
        <v>175</v>
      </c>
      <c r="AFQ2" s="409" t="s">
        <v>176</v>
      </c>
      <c r="AFR2" s="418" t="s">
        <v>177</v>
      </c>
      <c r="AFS2" s="415" t="s">
        <v>178</v>
      </c>
      <c r="AFT2" s="409" t="s">
        <v>179</v>
      </c>
      <c r="AFU2" s="409" t="s">
        <v>180</v>
      </c>
      <c r="AFV2" s="409" t="s">
        <v>174</v>
      </c>
      <c r="AFW2" s="409" t="s">
        <v>175</v>
      </c>
      <c r="AFX2" s="409" t="s">
        <v>176</v>
      </c>
      <c r="AFY2" s="409" t="s">
        <v>177</v>
      </c>
      <c r="AFZ2" s="409" t="s">
        <v>178</v>
      </c>
      <c r="AGA2" s="418" t="s">
        <v>179</v>
      </c>
      <c r="AGB2" s="415" t="s">
        <v>180</v>
      </c>
      <c r="AGC2" s="409" t="s">
        <v>174</v>
      </c>
      <c r="AGD2" s="409" t="s">
        <v>175</v>
      </c>
      <c r="AGE2" s="409" t="s">
        <v>176</v>
      </c>
      <c r="AGF2" s="409" t="s">
        <v>177</v>
      </c>
      <c r="AGG2" s="409" t="s">
        <v>178</v>
      </c>
      <c r="AGH2" s="409" t="s">
        <v>179</v>
      </c>
      <c r="AGI2" s="409" t="s">
        <v>180</v>
      </c>
      <c r="AGJ2" s="409" t="s">
        <v>174</v>
      </c>
      <c r="AGK2" s="409" t="s">
        <v>175</v>
      </c>
      <c r="AGL2" s="409" t="s">
        <v>176</v>
      </c>
      <c r="AGM2" s="409" t="s">
        <v>177</v>
      </c>
      <c r="AGN2" s="409" t="s">
        <v>178</v>
      </c>
      <c r="AGO2" s="409" t="s">
        <v>179</v>
      </c>
      <c r="AGP2" s="409" t="s">
        <v>180</v>
      </c>
      <c r="AGQ2" s="409" t="s">
        <v>174</v>
      </c>
      <c r="AGR2" s="409" t="s">
        <v>175</v>
      </c>
      <c r="AGS2" s="409" t="s">
        <v>176</v>
      </c>
      <c r="AGT2" s="409" t="s">
        <v>177</v>
      </c>
      <c r="AGU2" s="409" t="s">
        <v>178</v>
      </c>
      <c r="AGV2" s="409" t="s">
        <v>179</v>
      </c>
      <c r="AGW2" s="409" t="s">
        <v>180</v>
      </c>
      <c r="AGX2" s="409" t="s">
        <v>174</v>
      </c>
      <c r="AGY2" s="409" t="s">
        <v>175</v>
      </c>
      <c r="AGZ2" s="409" t="s">
        <v>176</v>
      </c>
      <c r="AHA2" s="409" t="s">
        <v>177</v>
      </c>
      <c r="AHB2" s="409" t="s">
        <v>178</v>
      </c>
      <c r="AHC2" s="409" t="s">
        <v>179</v>
      </c>
      <c r="AHD2" s="409" t="s">
        <v>180</v>
      </c>
      <c r="AHE2" s="420" t="s">
        <v>174</v>
      </c>
      <c r="AHF2" s="423" t="s">
        <v>175</v>
      </c>
      <c r="AHG2" s="409" t="s">
        <v>176</v>
      </c>
      <c r="AHH2" s="409" t="s">
        <v>177</v>
      </c>
      <c r="AHI2" s="409" t="s">
        <v>178</v>
      </c>
      <c r="AHJ2" s="409" t="s">
        <v>179</v>
      </c>
      <c r="AHK2" s="409" t="s">
        <v>180</v>
      </c>
      <c r="AHL2" s="409" t="s">
        <v>174</v>
      </c>
      <c r="AHM2" s="409" t="s">
        <v>175</v>
      </c>
      <c r="AHN2" s="409" t="s">
        <v>176</v>
      </c>
      <c r="AHO2" s="409" t="s">
        <v>177</v>
      </c>
      <c r="AHP2" s="409" t="s">
        <v>178</v>
      </c>
      <c r="AHQ2" s="409" t="s">
        <v>179</v>
      </c>
      <c r="AHR2" s="409" t="s">
        <v>180</v>
      </c>
      <c r="AHS2" s="409" t="s">
        <v>174</v>
      </c>
      <c r="AHT2" s="409" t="s">
        <v>175</v>
      </c>
      <c r="AHU2" s="409" t="s">
        <v>176</v>
      </c>
      <c r="AHV2" s="409" t="s">
        <v>177</v>
      </c>
      <c r="AHW2" s="409" t="s">
        <v>178</v>
      </c>
      <c r="AHX2" s="409" t="s">
        <v>179</v>
      </c>
      <c r="AHY2" s="409" t="s">
        <v>180</v>
      </c>
      <c r="AHZ2" s="409" t="s">
        <v>174</v>
      </c>
      <c r="AIA2" s="409" t="s">
        <v>175</v>
      </c>
      <c r="AIB2" s="409" t="s">
        <v>176</v>
      </c>
      <c r="AIC2" s="409" t="s">
        <v>177</v>
      </c>
      <c r="AID2" s="409" t="s">
        <v>178</v>
      </c>
      <c r="AIE2" s="409" t="s">
        <v>179</v>
      </c>
      <c r="AIF2" s="409" t="s">
        <v>180</v>
      </c>
      <c r="AIG2" s="409" t="s">
        <v>174</v>
      </c>
      <c r="AIH2" s="409" t="s">
        <v>175</v>
      </c>
      <c r="AII2" s="409" t="s">
        <v>176</v>
      </c>
      <c r="AIJ2" s="418" t="s">
        <v>177</v>
      </c>
      <c r="AIK2" s="415" t="s">
        <v>178</v>
      </c>
      <c r="AIL2" s="409" t="s">
        <v>179</v>
      </c>
      <c r="AIM2" s="409" t="s">
        <v>180</v>
      </c>
      <c r="AIN2" s="409" t="s">
        <v>174</v>
      </c>
      <c r="AIO2" s="409" t="s">
        <v>175</v>
      </c>
      <c r="AIP2" s="409" t="s">
        <v>176</v>
      </c>
      <c r="AIQ2" s="409" t="s">
        <v>177</v>
      </c>
      <c r="AIR2" s="409" t="s">
        <v>178</v>
      </c>
      <c r="AIS2" s="418" t="s">
        <v>179</v>
      </c>
      <c r="AIT2" s="415" t="s">
        <v>180</v>
      </c>
      <c r="AIU2" s="409" t="s">
        <v>174</v>
      </c>
      <c r="AIV2" s="409" t="s">
        <v>175</v>
      </c>
      <c r="AIW2" s="409" t="s">
        <v>176</v>
      </c>
      <c r="AIX2" s="409" t="s">
        <v>177</v>
      </c>
      <c r="AIY2" s="409" t="s">
        <v>178</v>
      </c>
      <c r="AIZ2" s="409" t="s">
        <v>179</v>
      </c>
      <c r="AJA2" s="409" t="s">
        <v>180</v>
      </c>
      <c r="AJB2" s="409" t="s">
        <v>174</v>
      </c>
      <c r="AJC2" s="409" t="s">
        <v>175</v>
      </c>
      <c r="AJD2" s="409" t="s">
        <v>176</v>
      </c>
      <c r="AJE2" s="409" t="s">
        <v>177</v>
      </c>
      <c r="AJF2" s="409" t="s">
        <v>178</v>
      </c>
      <c r="AJG2" s="409" t="s">
        <v>179</v>
      </c>
      <c r="AJH2" s="409" t="s">
        <v>180</v>
      </c>
      <c r="AJI2" s="409" t="s">
        <v>174</v>
      </c>
      <c r="AJJ2" s="409" t="s">
        <v>175</v>
      </c>
      <c r="AJK2" s="409" t="s">
        <v>176</v>
      </c>
      <c r="AJL2" s="409" t="s">
        <v>177</v>
      </c>
      <c r="AJM2" s="409" t="s">
        <v>178</v>
      </c>
      <c r="AJN2" s="409" t="s">
        <v>179</v>
      </c>
      <c r="AJO2" s="409" t="s">
        <v>180</v>
      </c>
      <c r="AJP2" s="409" t="s">
        <v>174</v>
      </c>
      <c r="AJQ2" s="409" t="s">
        <v>175</v>
      </c>
      <c r="AJR2" s="409" t="s">
        <v>176</v>
      </c>
      <c r="AJS2" s="409" t="s">
        <v>177</v>
      </c>
      <c r="AJT2" s="409" t="s">
        <v>178</v>
      </c>
      <c r="AJU2" s="409" t="s">
        <v>179</v>
      </c>
      <c r="AJV2" s="409" t="s">
        <v>180</v>
      </c>
      <c r="AJW2" s="420" t="s">
        <v>174</v>
      </c>
      <c r="AJX2" s="423" t="s">
        <v>175</v>
      </c>
      <c r="AJY2" s="409" t="s">
        <v>176</v>
      </c>
      <c r="AJZ2" s="409" t="s">
        <v>177</v>
      </c>
      <c r="AKA2" s="409" t="s">
        <v>178</v>
      </c>
      <c r="AKB2" s="409" t="s">
        <v>179</v>
      </c>
      <c r="AKC2" s="409" t="s">
        <v>180</v>
      </c>
      <c r="AKD2" s="409" t="s">
        <v>174</v>
      </c>
      <c r="AKE2" s="409" t="s">
        <v>175</v>
      </c>
      <c r="AKF2" s="409" t="s">
        <v>176</v>
      </c>
      <c r="AKG2" s="409" t="s">
        <v>177</v>
      </c>
      <c r="AKH2" s="409" t="s">
        <v>178</v>
      </c>
      <c r="AKI2" s="409" t="s">
        <v>179</v>
      </c>
      <c r="AKJ2" s="409" t="s">
        <v>180</v>
      </c>
      <c r="AKK2" s="409" t="s">
        <v>174</v>
      </c>
      <c r="AKL2" s="409" t="s">
        <v>175</v>
      </c>
      <c r="AKM2" s="409" t="s">
        <v>176</v>
      </c>
      <c r="AKN2" s="409" t="s">
        <v>177</v>
      </c>
      <c r="AKO2" s="409" t="s">
        <v>178</v>
      </c>
      <c r="AKP2" s="409" t="s">
        <v>179</v>
      </c>
      <c r="AKQ2" s="409" t="s">
        <v>180</v>
      </c>
      <c r="AKR2" s="409" t="s">
        <v>174</v>
      </c>
      <c r="AKS2" s="409" t="s">
        <v>175</v>
      </c>
      <c r="AKT2" s="409" t="s">
        <v>176</v>
      </c>
      <c r="AKU2" s="409" t="s">
        <v>177</v>
      </c>
      <c r="AKV2" s="409" t="s">
        <v>178</v>
      </c>
      <c r="AKW2" s="409" t="s">
        <v>179</v>
      </c>
      <c r="AKX2" s="409" t="s">
        <v>180</v>
      </c>
      <c r="AKY2" s="409" t="s">
        <v>174</v>
      </c>
      <c r="AKZ2" s="409" t="s">
        <v>175</v>
      </c>
      <c r="ALA2" s="409" t="s">
        <v>176</v>
      </c>
      <c r="ALB2" s="418" t="s">
        <v>177</v>
      </c>
      <c r="ALC2" s="415" t="s">
        <v>178</v>
      </c>
      <c r="ALD2" s="409" t="s">
        <v>179</v>
      </c>
      <c r="ALE2" s="409" t="s">
        <v>180</v>
      </c>
      <c r="ALF2" s="409" t="s">
        <v>174</v>
      </c>
      <c r="ALG2" s="409" t="s">
        <v>175</v>
      </c>
      <c r="ALH2" s="409" t="s">
        <v>176</v>
      </c>
      <c r="ALI2" s="409" t="s">
        <v>177</v>
      </c>
      <c r="ALJ2" s="409" t="s">
        <v>178</v>
      </c>
      <c r="ALK2" s="418" t="s">
        <v>179</v>
      </c>
      <c r="ALL2" s="415" t="s">
        <v>180</v>
      </c>
      <c r="ALM2" s="409" t="s">
        <v>174</v>
      </c>
      <c r="ALN2" s="409" t="s">
        <v>175</v>
      </c>
      <c r="ALO2" s="409" t="s">
        <v>176</v>
      </c>
      <c r="ALP2" s="409" t="s">
        <v>177</v>
      </c>
      <c r="ALQ2" s="409" t="s">
        <v>178</v>
      </c>
      <c r="ALR2" s="409" t="s">
        <v>179</v>
      </c>
      <c r="ALS2" s="409" t="s">
        <v>180</v>
      </c>
      <c r="ALT2" s="409" t="s">
        <v>174</v>
      </c>
      <c r="ALU2" s="409" t="s">
        <v>175</v>
      </c>
      <c r="ALV2" s="409" t="s">
        <v>176</v>
      </c>
      <c r="ALW2" s="409" t="s">
        <v>177</v>
      </c>
      <c r="ALX2" s="409" t="s">
        <v>178</v>
      </c>
      <c r="ALY2" s="409" t="s">
        <v>179</v>
      </c>
      <c r="ALZ2" s="409" t="s">
        <v>180</v>
      </c>
      <c r="AMA2" s="409" t="s">
        <v>174</v>
      </c>
      <c r="AMB2" s="409" t="s">
        <v>175</v>
      </c>
      <c r="AMC2" s="409" t="s">
        <v>176</v>
      </c>
      <c r="AMD2" s="409" t="s">
        <v>177</v>
      </c>
      <c r="AME2" s="409" t="s">
        <v>178</v>
      </c>
      <c r="AMF2" s="409" t="s">
        <v>179</v>
      </c>
      <c r="AMG2" s="409" t="s">
        <v>180</v>
      </c>
      <c r="AMH2" s="409" t="s">
        <v>174</v>
      </c>
      <c r="AMI2" s="409" t="s">
        <v>175</v>
      </c>
      <c r="AMJ2" s="409" t="s">
        <v>176</v>
      </c>
      <c r="AMK2" s="409" t="s">
        <v>177</v>
      </c>
      <c r="AML2" s="409" t="s">
        <v>178</v>
      </c>
      <c r="AMM2" s="409" t="s">
        <v>179</v>
      </c>
      <c r="AMN2" s="409" t="s">
        <v>180</v>
      </c>
      <c r="AMO2" s="420" t="s">
        <v>174</v>
      </c>
      <c r="AMP2" s="423" t="s">
        <v>175</v>
      </c>
      <c r="AMQ2" s="409" t="s">
        <v>176</v>
      </c>
      <c r="AMR2" s="409" t="s">
        <v>177</v>
      </c>
      <c r="AMS2" s="409" t="s">
        <v>178</v>
      </c>
      <c r="AMT2" s="409" t="s">
        <v>179</v>
      </c>
      <c r="AMU2" s="409" t="s">
        <v>180</v>
      </c>
      <c r="AMV2" s="409" t="s">
        <v>174</v>
      </c>
      <c r="AMW2" s="409" t="s">
        <v>175</v>
      </c>
      <c r="AMX2" s="409" t="s">
        <v>176</v>
      </c>
      <c r="AMY2" s="409" t="s">
        <v>177</v>
      </c>
      <c r="AMZ2" s="409" t="s">
        <v>178</v>
      </c>
      <c r="ANA2" s="409" t="s">
        <v>179</v>
      </c>
      <c r="ANB2" s="409" t="s">
        <v>180</v>
      </c>
      <c r="ANC2" s="409" t="s">
        <v>174</v>
      </c>
      <c r="AND2" s="409" t="s">
        <v>175</v>
      </c>
      <c r="ANE2" s="409" t="s">
        <v>176</v>
      </c>
      <c r="ANF2" s="409" t="s">
        <v>177</v>
      </c>
      <c r="ANG2" s="409" t="s">
        <v>178</v>
      </c>
      <c r="ANH2" s="409" t="s">
        <v>179</v>
      </c>
      <c r="ANI2" s="409" t="s">
        <v>180</v>
      </c>
      <c r="ANJ2" s="409" t="s">
        <v>174</v>
      </c>
      <c r="ANK2" s="409" t="s">
        <v>175</v>
      </c>
      <c r="ANL2" s="409" t="s">
        <v>176</v>
      </c>
      <c r="ANM2" s="409" t="s">
        <v>177</v>
      </c>
      <c r="ANN2" s="409" t="s">
        <v>178</v>
      </c>
      <c r="ANO2" s="409" t="s">
        <v>179</v>
      </c>
      <c r="ANP2" s="409" t="s">
        <v>180</v>
      </c>
      <c r="ANQ2" s="409" t="s">
        <v>174</v>
      </c>
      <c r="ANR2" s="409" t="s">
        <v>175</v>
      </c>
      <c r="ANS2" s="409" t="s">
        <v>176</v>
      </c>
      <c r="ANT2" s="418" t="s">
        <v>177</v>
      </c>
      <c r="ANU2" s="415" t="s">
        <v>178</v>
      </c>
      <c r="ANV2" s="409" t="s">
        <v>179</v>
      </c>
      <c r="ANW2" s="409" t="s">
        <v>180</v>
      </c>
      <c r="ANX2" s="409" t="s">
        <v>174</v>
      </c>
      <c r="ANY2" s="409" t="s">
        <v>175</v>
      </c>
      <c r="ANZ2" s="409" t="s">
        <v>176</v>
      </c>
      <c r="AOA2" s="409" t="s">
        <v>177</v>
      </c>
      <c r="AOB2" s="409" t="s">
        <v>178</v>
      </c>
      <c r="AOC2" s="418" t="s">
        <v>179</v>
      </c>
      <c r="AOD2" s="415" t="s">
        <v>180</v>
      </c>
      <c r="AOE2" s="409" t="s">
        <v>174</v>
      </c>
      <c r="AOF2" s="409" t="s">
        <v>175</v>
      </c>
      <c r="AOG2" s="409" t="s">
        <v>176</v>
      </c>
      <c r="AOH2" s="409" t="s">
        <v>177</v>
      </c>
      <c r="AOI2" s="409" t="s">
        <v>178</v>
      </c>
      <c r="AOJ2" s="409" t="s">
        <v>179</v>
      </c>
      <c r="AOK2" s="409" t="s">
        <v>180</v>
      </c>
      <c r="AOL2" s="409" t="s">
        <v>174</v>
      </c>
      <c r="AOM2" s="409" t="s">
        <v>175</v>
      </c>
      <c r="AON2" s="409" t="s">
        <v>176</v>
      </c>
      <c r="AOO2" s="409" t="s">
        <v>177</v>
      </c>
      <c r="AOP2" s="409" t="s">
        <v>178</v>
      </c>
      <c r="AOQ2" s="409" t="s">
        <v>179</v>
      </c>
      <c r="AOR2" s="409" t="s">
        <v>180</v>
      </c>
      <c r="AOS2" s="409" t="s">
        <v>174</v>
      </c>
      <c r="AOT2" s="409" t="s">
        <v>175</v>
      </c>
      <c r="AOU2" s="409" t="s">
        <v>176</v>
      </c>
      <c r="AOV2" s="409" t="s">
        <v>177</v>
      </c>
      <c r="AOW2" s="409" t="s">
        <v>178</v>
      </c>
      <c r="AOX2" s="409" t="s">
        <v>179</v>
      </c>
      <c r="AOY2" s="409" t="s">
        <v>180</v>
      </c>
      <c r="AOZ2" s="409" t="s">
        <v>174</v>
      </c>
      <c r="APA2" s="409" t="s">
        <v>175</v>
      </c>
      <c r="APB2" s="409" t="s">
        <v>176</v>
      </c>
      <c r="APC2" s="409" t="s">
        <v>177</v>
      </c>
      <c r="APD2" s="409" t="s">
        <v>178</v>
      </c>
      <c r="APE2" s="409" t="s">
        <v>179</v>
      </c>
      <c r="APF2" s="409" t="s">
        <v>180</v>
      </c>
      <c r="APG2" s="420" t="s">
        <v>174</v>
      </c>
      <c r="APH2" s="423" t="s">
        <v>175</v>
      </c>
      <c r="API2" s="409" t="s">
        <v>176</v>
      </c>
      <c r="APJ2" s="409" t="s">
        <v>177</v>
      </c>
      <c r="APK2" s="409" t="s">
        <v>178</v>
      </c>
      <c r="APL2" s="409" t="s">
        <v>179</v>
      </c>
      <c r="APM2" s="409" t="s">
        <v>180</v>
      </c>
      <c r="APN2" s="409" t="s">
        <v>174</v>
      </c>
      <c r="APO2" s="409" t="s">
        <v>175</v>
      </c>
      <c r="APP2" s="409" t="s">
        <v>176</v>
      </c>
      <c r="APQ2" s="409" t="s">
        <v>177</v>
      </c>
      <c r="APR2" s="409" t="s">
        <v>178</v>
      </c>
      <c r="APS2" s="409" t="s">
        <v>179</v>
      </c>
      <c r="APT2" s="409" t="s">
        <v>180</v>
      </c>
      <c r="APU2" s="409" t="s">
        <v>174</v>
      </c>
      <c r="APV2" s="409" t="s">
        <v>175</v>
      </c>
      <c r="APW2" s="409" t="s">
        <v>176</v>
      </c>
      <c r="APX2" s="409" t="s">
        <v>177</v>
      </c>
      <c r="APY2" s="409" t="s">
        <v>178</v>
      </c>
      <c r="APZ2" s="409" t="s">
        <v>179</v>
      </c>
      <c r="AQA2" s="409" t="s">
        <v>180</v>
      </c>
      <c r="AQB2" s="409" t="s">
        <v>174</v>
      </c>
      <c r="AQC2" s="409" t="s">
        <v>175</v>
      </c>
      <c r="AQD2" s="409" t="s">
        <v>176</v>
      </c>
      <c r="AQE2" s="409" t="s">
        <v>177</v>
      </c>
      <c r="AQF2" s="409" t="s">
        <v>178</v>
      </c>
      <c r="AQG2" s="409" t="s">
        <v>179</v>
      </c>
      <c r="AQH2" s="409" t="s">
        <v>180</v>
      </c>
      <c r="AQI2" s="409" t="s">
        <v>174</v>
      </c>
      <c r="AQJ2" s="409" t="s">
        <v>175</v>
      </c>
      <c r="AQK2" s="409" t="s">
        <v>176</v>
      </c>
      <c r="AQL2" s="418" t="s">
        <v>177</v>
      </c>
      <c r="AQM2" s="415" t="s">
        <v>178</v>
      </c>
      <c r="AQN2" s="409" t="s">
        <v>179</v>
      </c>
      <c r="AQO2" s="409" t="s">
        <v>180</v>
      </c>
      <c r="AQP2" s="409" t="s">
        <v>174</v>
      </c>
      <c r="AQQ2" s="409" t="s">
        <v>175</v>
      </c>
      <c r="AQR2" s="409" t="s">
        <v>176</v>
      </c>
      <c r="AQS2" s="409" t="s">
        <v>177</v>
      </c>
      <c r="AQT2" s="409" t="s">
        <v>178</v>
      </c>
      <c r="AQU2" s="418" t="s">
        <v>179</v>
      </c>
      <c r="AQV2" s="415" t="s">
        <v>180</v>
      </c>
      <c r="AQW2" s="409" t="s">
        <v>174</v>
      </c>
      <c r="AQX2" s="409" t="s">
        <v>175</v>
      </c>
      <c r="AQY2" s="409" t="s">
        <v>176</v>
      </c>
      <c r="AQZ2" s="409" t="s">
        <v>177</v>
      </c>
      <c r="ARA2" s="409" t="s">
        <v>178</v>
      </c>
      <c r="ARB2" s="409" t="s">
        <v>179</v>
      </c>
      <c r="ARC2" s="409" t="s">
        <v>180</v>
      </c>
      <c r="ARD2" s="409" t="s">
        <v>174</v>
      </c>
      <c r="ARE2" s="409" t="s">
        <v>175</v>
      </c>
      <c r="ARF2" s="409" t="s">
        <v>176</v>
      </c>
      <c r="ARG2" s="409" t="s">
        <v>177</v>
      </c>
      <c r="ARH2" s="409" t="s">
        <v>178</v>
      </c>
      <c r="ARI2" s="409" t="s">
        <v>179</v>
      </c>
      <c r="ARJ2" s="409" t="s">
        <v>180</v>
      </c>
      <c r="ARK2" s="409" t="s">
        <v>174</v>
      </c>
      <c r="ARL2" s="409" t="s">
        <v>175</v>
      </c>
      <c r="ARM2" s="409" t="s">
        <v>176</v>
      </c>
      <c r="ARN2" s="409" t="s">
        <v>177</v>
      </c>
      <c r="ARO2" s="409" t="s">
        <v>178</v>
      </c>
      <c r="ARP2" s="409" t="s">
        <v>179</v>
      </c>
      <c r="ARQ2" s="409" t="s">
        <v>180</v>
      </c>
      <c r="ARR2" s="409" t="s">
        <v>174</v>
      </c>
      <c r="ARS2" s="409" t="s">
        <v>175</v>
      </c>
      <c r="ART2" s="409" t="s">
        <v>176</v>
      </c>
      <c r="ARU2" s="409" t="s">
        <v>177</v>
      </c>
      <c r="ARV2" s="409" t="s">
        <v>178</v>
      </c>
      <c r="ARW2" s="409" t="s">
        <v>179</v>
      </c>
      <c r="ARX2" s="409" t="s">
        <v>180</v>
      </c>
      <c r="ARY2" s="420" t="s">
        <v>174</v>
      </c>
      <c r="ARZ2" s="423" t="s">
        <v>175</v>
      </c>
      <c r="ASA2" s="409" t="s">
        <v>176</v>
      </c>
      <c r="ASB2" s="409" t="s">
        <v>177</v>
      </c>
      <c r="ASC2" s="409" t="s">
        <v>178</v>
      </c>
      <c r="ASD2" s="409" t="s">
        <v>179</v>
      </c>
      <c r="ASE2" s="409" t="s">
        <v>180</v>
      </c>
      <c r="ASF2" s="409" t="s">
        <v>174</v>
      </c>
      <c r="ASG2" s="409" t="s">
        <v>175</v>
      </c>
      <c r="ASH2" s="409" t="s">
        <v>176</v>
      </c>
      <c r="ASI2" s="409" t="s">
        <v>177</v>
      </c>
      <c r="ASJ2" s="409" t="s">
        <v>178</v>
      </c>
      <c r="ASK2" s="409" t="s">
        <v>179</v>
      </c>
      <c r="ASL2" s="409" t="s">
        <v>180</v>
      </c>
      <c r="ASM2" s="409" t="s">
        <v>174</v>
      </c>
      <c r="ASN2" s="409" t="s">
        <v>175</v>
      </c>
      <c r="ASO2" s="409" t="s">
        <v>176</v>
      </c>
      <c r="ASP2" s="409" t="s">
        <v>177</v>
      </c>
      <c r="ASQ2" s="409" t="s">
        <v>178</v>
      </c>
      <c r="ASR2" s="409" t="s">
        <v>179</v>
      </c>
      <c r="ASS2" s="409" t="s">
        <v>180</v>
      </c>
      <c r="AST2" s="409" t="s">
        <v>174</v>
      </c>
      <c r="ASU2" s="409" t="s">
        <v>175</v>
      </c>
      <c r="ASV2" s="409" t="s">
        <v>176</v>
      </c>
      <c r="ASW2" s="409" t="s">
        <v>177</v>
      </c>
      <c r="ASX2" s="409" t="s">
        <v>178</v>
      </c>
      <c r="ASY2" s="409" t="s">
        <v>179</v>
      </c>
      <c r="ASZ2" s="409" t="s">
        <v>180</v>
      </c>
      <c r="ATA2" s="409" t="s">
        <v>174</v>
      </c>
      <c r="ATB2" s="409" t="s">
        <v>175</v>
      </c>
      <c r="ATC2" s="409" t="s">
        <v>176</v>
      </c>
      <c r="ATD2" s="418" t="s">
        <v>177</v>
      </c>
      <c r="ATE2" s="415" t="s">
        <v>178</v>
      </c>
      <c r="ATF2" s="409" t="s">
        <v>179</v>
      </c>
      <c r="ATG2" s="409" t="s">
        <v>180</v>
      </c>
      <c r="ATH2" s="409" t="s">
        <v>174</v>
      </c>
      <c r="ATI2" s="409" t="s">
        <v>175</v>
      </c>
      <c r="ATJ2" s="409" t="s">
        <v>176</v>
      </c>
      <c r="ATK2" s="409" t="s">
        <v>177</v>
      </c>
      <c r="ATL2" s="409" t="s">
        <v>178</v>
      </c>
      <c r="ATM2" s="418" t="s">
        <v>179</v>
      </c>
      <c r="ATN2" s="415" t="s">
        <v>180</v>
      </c>
      <c r="ATO2" s="409" t="s">
        <v>174</v>
      </c>
      <c r="ATP2" s="409" t="s">
        <v>175</v>
      </c>
      <c r="ATQ2" s="409" t="s">
        <v>176</v>
      </c>
      <c r="ATR2" s="409" t="s">
        <v>177</v>
      </c>
      <c r="ATS2" s="409" t="s">
        <v>178</v>
      </c>
      <c r="ATT2" s="409" t="s">
        <v>179</v>
      </c>
      <c r="ATU2" s="409" t="s">
        <v>180</v>
      </c>
      <c r="ATV2" s="409" t="s">
        <v>174</v>
      </c>
      <c r="ATW2" s="409" t="s">
        <v>175</v>
      </c>
      <c r="ATX2" s="409" t="s">
        <v>176</v>
      </c>
      <c r="ATY2" s="409" t="s">
        <v>177</v>
      </c>
      <c r="ATZ2" s="409" t="s">
        <v>178</v>
      </c>
      <c r="AUA2" s="409" t="s">
        <v>179</v>
      </c>
      <c r="AUB2" s="409" t="s">
        <v>180</v>
      </c>
      <c r="AUC2" s="409" t="s">
        <v>174</v>
      </c>
      <c r="AUD2" s="409" t="s">
        <v>175</v>
      </c>
      <c r="AUE2" s="409" t="s">
        <v>176</v>
      </c>
      <c r="AUF2" s="409" t="s">
        <v>177</v>
      </c>
      <c r="AUG2" s="409" t="s">
        <v>178</v>
      </c>
      <c r="AUH2" s="409" t="s">
        <v>179</v>
      </c>
      <c r="AUI2" s="409" t="s">
        <v>180</v>
      </c>
      <c r="AUJ2" s="409" t="s">
        <v>174</v>
      </c>
      <c r="AUK2" s="409" t="s">
        <v>175</v>
      </c>
      <c r="AUL2" s="409" t="s">
        <v>176</v>
      </c>
      <c r="AUM2" s="409" t="s">
        <v>177</v>
      </c>
      <c r="AUN2" s="409" t="s">
        <v>178</v>
      </c>
      <c r="AUO2" s="409" t="s">
        <v>179</v>
      </c>
      <c r="AUP2" s="409" t="s">
        <v>180</v>
      </c>
      <c r="AUQ2" s="420" t="s">
        <v>174</v>
      </c>
      <c r="AUR2" s="423" t="s">
        <v>175</v>
      </c>
      <c r="AUS2" s="409" t="s">
        <v>176</v>
      </c>
      <c r="AUT2" s="409" t="s">
        <v>177</v>
      </c>
      <c r="AUU2" s="409" t="s">
        <v>178</v>
      </c>
      <c r="AUV2" s="409" t="s">
        <v>179</v>
      </c>
      <c r="AUW2" s="409" t="s">
        <v>180</v>
      </c>
      <c r="AUX2" s="409" t="s">
        <v>174</v>
      </c>
      <c r="AUY2" s="409" t="s">
        <v>175</v>
      </c>
      <c r="AUZ2" s="409" t="s">
        <v>176</v>
      </c>
      <c r="AVA2" s="409" t="s">
        <v>177</v>
      </c>
      <c r="AVB2" s="409" t="s">
        <v>178</v>
      </c>
      <c r="AVC2" s="409" t="s">
        <v>179</v>
      </c>
      <c r="AVD2" s="409" t="s">
        <v>180</v>
      </c>
      <c r="AVE2" s="409" t="s">
        <v>174</v>
      </c>
      <c r="AVF2" s="409" t="s">
        <v>175</v>
      </c>
      <c r="AVG2" s="409" t="s">
        <v>176</v>
      </c>
      <c r="AVH2" s="409" t="s">
        <v>177</v>
      </c>
      <c r="AVI2" s="409" t="s">
        <v>178</v>
      </c>
      <c r="AVJ2" s="409" t="s">
        <v>179</v>
      </c>
      <c r="AVK2" s="409" t="s">
        <v>180</v>
      </c>
      <c r="AVL2" s="409" t="s">
        <v>174</v>
      </c>
      <c r="AVM2" s="409" t="s">
        <v>175</v>
      </c>
      <c r="AVN2" s="409" t="s">
        <v>176</v>
      </c>
      <c r="AVO2" s="409" t="s">
        <v>177</v>
      </c>
      <c r="AVP2" s="409" t="s">
        <v>178</v>
      </c>
      <c r="AVQ2" s="409" t="s">
        <v>179</v>
      </c>
      <c r="AVR2" s="409" t="s">
        <v>180</v>
      </c>
      <c r="AVS2" s="409" t="s">
        <v>174</v>
      </c>
      <c r="AVT2" s="409" t="s">
        <v>175</v>
      </c>
      <c r="AVU2" s="409" t="s">
        <v>176</v>
      </c>
      <c r="AVV2" s="418" t="s">
        <v>177</v>
      </c>
      <c r="AVW2" s="415" t="s">
        <v>178</v>
      </c>
      <c r="AVX2" s="409" t="s">
        <v>179</v>
      </c>
      <c r="AVY2" s="409" t="s">
        <v>180</v>
      </c>
      <c r="AVZ2" s="409" t="s">
        <v>174</v>
      </c>
      <c r="AWA2" s="409" t="s">
        <v>175</v>
      </c>
      <c r="AWB2" s="409" t="s">
        <v>176</v>
      </c>
      <c r="AWC2" s="409" t="s">
        <v>177</v>
      </c>
      <c r="AWD2" s="409" t="s">
        <v>178</v>
      </c>
      <c r="AWE2" s="418" t="s">
        <v>179</v>
      </c>
      <c r="AWF2" s="415" t="s">
        <v>180</v>
      </c>
      <c r="AWG2" s="409" t="s">
        <v>174</v>
      </c>
      <c r="AWH2" s="409" t="s">
        <v>175</v>
      </c>
      <c r="AWI2" s="409" t="s">
        <v>176</v>
      </c>
      <c r="AWJ2" s="409" t="s">
        <v>177</v>
      </c>
      <c r="AWK2" s="409" t="s">
        <v>178</v>
      </c>
      <c r="AWL2" s="409" t="s">
        <v>179</v>
      </c>
      <c r="AWM2" s="409" t="s">
        <v>180</v>
      </c>
      <c r="AWN2" s="409" t="s">
        <v>174</v>
      </c>
      <c r="AWO2" s="409" t="s">
        <v>175</v>
      </c>
      <c r="AWP2" s="409" t="s">
        <v>176</v>
      </c>
      <c r="AWQ2" s="409" t="s">
        <v>177</v>
      </c>
      <c r="AWR2" s="409" t="s">
        <v>178</v>
      </c>
      <c r="AWS2" s="409" t="s">
        <v>179</v>
      </c>
      <c r="AWT2" s="409" t="s">
        <v>180</v>
      </c>
      <c r="AWU2" s="409" t="s">
        <v>174</v>
      </c>
      <c r="AWV2" s="409" t="s">
        <v>175</v>
      </c>
      <c r="AWW2" s="409" t="s">
        <v>176</v>
      </c>
      <c r="AWX2" s="409" t="s">
        <v>177</v>
      </c>
      <c r="AWY2" s="409" t="s">
        <v>178</v>
      </c>
      <c r="AWZ2" s="409" t="s">
        <v>179</v>
      </c>
      <c r="AXA2" s="409" t="s">
        <v>180</v>
      </c>
      <c r="AXB2" s="409" t="s">
        <v>174</v>
      </c>
      <c r="AXC2" s="409" t="s">
        <v>175</v>
      </c>
      <c r="AXD2" s="409" t="s">
        <v>176</v>
      </c>
      <c r="AXE2" s="409" t="s">
        <v>177</v>
      </c>
      <c r="AXF2" s="409" t="s">
        <v>178</v>
      </c>
      <c r="AXG2" s="409" t="s">
        <v>179</v>
      </c>
      <c r="AXH2" s="409" t="s">
        <v>180</v>
      </c>
      <c r="AXI2" s="420" t="s">
        <v>174</v>
      </c>
      <c r="AXJ2" s="423" t="s">
        <v>175</v>
      </c>
      <c r="AXK2" s="409" t="s">
        <v>176</v>
      </c>
      <c r="AXL2" s="409" t="s">
        <v>177</v>
      </c>
      <c r="AXM2" s="409" t="s">
        <v>178</v>
      </c>
      <c r="AXN2" s="409" t="s">
        <v>179</v>
      </c>
      <c r="AXO2" s="409" t="s">
        <v>180</v>
      </c>
      <c r="AXP2" s="409" t="s">
        <v>174</v>
      </c>
      <c r="AXQ2" s="409" t="s">
        <v>175</v>
      </c>
      <c r="AXR2" s="409" t="s">
        <v>176</v>
      </c>
      <c r="AXS2" s="409" t="s">
        <v>177</v>
      </c>
      <c r="AXT2" s="409" t="s">
        <v>178</v>
      </c>
      <c r="AXU2" s="409" t="s">
        <v>179</v>
      </c>
      <c r="AXV2" s="409" t="s">
        <v>180</v>
      </c>
      <c r="AXW2" s="409" t="s">
        <v>174</v>
      </c>
      <c r="AXX2" s="409" t="s">
        <v>175</v>
      </c>
      <c r="AXY2" s="409" t="s">
        <v>176</v>
      </c>
      <c r="AXZ2" s="409" t="s">
        <v>177</v>
      </c>
      <c r="AYA2" s="409" t="s">
        <v>178</v>
      </c>
      <c r="AYB2" s="409" t="s">
        <v>179</v>
      </c>
      <c r="AYC2" s="409" t="s">
        <v>180</v>
      </c>
      <c r="AYD2" s="409" t="s">
        <v>174</v>
      </c>
      <c r="AYE2" s="409" t="s">
        <v>175</v>
      </c>
      <c r="AYF2" s="409" t="s">
        <v>176</v>
      </c>
      <c r="AYG2" s="409" t="s">
        <v>177</v>
      </c>
      <c r="AYH2" s="409" t="s">
        <v>178</v>
      </c>
      <c r="AYI2" s="409" t="s">
        <v>179</v>
      </c>
      <c r="AYJ2" s="409" t="s">
        <v>180</v>
      </c>
      <c r="AYK2" s="409" t="s">
        <v>174</v>
      </c>
      <c r="AYL2" s="409" t="s">
        <v>175</v>
      </c>
      <c r="AYM2" s="409" t="s">
        <v>176</v>
      </c>
      <c r="AYN2" s="418" t="s">
        <v>177</v>
      </c>
      <c r="AYO2" s="415" t="s">
        <v>178</v>
      </c>
      <c r="AYP2" s="409" t="s">
        <v>179</v>
      </c>
      <c r="AYQ2" s="409" t="s">
        <v>180</v>
      </c>
      <c r="AYR2" s="409" t="s">
        <v>174</v>
      </c>
      <c r="AYS2" s="409" t="s">
        <v>175</v>
      </c>
      <c r="AYT2" s="409" t="s">
        <v>176</v>
      </c>
      <c r="AYU2" s="409" t="s">
        <v>177</v>
      </c>
      <c r="AYV2" s="409" t="s">
        <v>178</v>
      </c>
      <c r="AYW2" s="418" t="s">
        <v>179</v>
      </c>
      <c r="AYX2" s="415" t="s">
        <v>180</v>
      </c>
      <c r="AYY2" s="409" t="s">
        <v>174</v>
      </c>
      <c r="AYZ2" s="409" t="s">
        <v>175</v>
      </c>
      <c r="AZA2" s="409" t="s">
        <v>176</v>
      </c>
      <c r="AZB2" s="409" t="s">
        <v>177</v>
      </c>
      <c r="AZC2" s="409" t="s">
        <v>178</v>
      </c>
      <c r="AZD2" s="409" t="s">
        <v>179</v>
      </c>
      <c r="AZE2" s="409" t="s">
        <v>180</v>
      </c>
      <c r="AZF2" s="409" t="s">
        <v>174</v>
      </c>
      <c r="AZG2" s="409" t="s">
        <v>175</v>
      </c>
      <c r="AZH2" s="409" t="s">
        <v>176</v>
      </c>
      <c r="AZI2" s="409" t="s">
        <v>177</v>
      </c>
      <c r="AZJ2" s="409" t="s">
        <v>178</v>
      </c>
      <c r="AZK2" s="409" t="s">
        <v>179</v>
      </c>
      <c r="AZL2" s="409" t="s">
        <v>180</v>
      </c>
      <c r="AZM2" s="409" t="s">
        <v>174</v>
      </c>
      <c r="AZN2" s="409" t="s">
        <v>175</v>
      </c>
      <c r="AZO2" s="409" t="s">
        <v>176</v>
      </c>
      <c r="AZP2" s="409" t="s">
        <v>177</v>
      </c>
      <c r="AZQ2" s="409" t="s">
        <v>178</v>
      </c>
      <c r="AZR2" s="409" t="s">
        <v>179</v>
      </c>
      <c r="AZS2" s="409" t="s">
        <v>180</v>
      </c>
      <c r="AZT2" s="409" t="s">
        <v>174</v>
      </c>
      <c r="AZU2" s="409" t="s">
        <v>175</v>
      </c>
      <c r="AZV2" s="409" t="s">
        <v>176</v>
      </c>
      <c r="AZW2" s="409" t="s">
        <v>177</v>
      </c>
      <c r="AZX2" s="409" t="s">
        <v>178</v>
      </c>
      <c r="AZY2" s="409" t="s">
        <v>179</v>
      </c>
      <c r="AZZ2" s="409" t="s">
        <v>180</v>
      </c>
      <c r="BAA2" s="420" t="s">
        <v>174</v>
      </c>
      <c r="BAB2" s="423" t="s">
        <v>175</v>
      </c>
      <c r="BAC2" s="409" t="s">
        <v>176</v>
      </c>
      <c r="BAD2" s="409" t="s">
        <v>177</v>
      </c>
      <c r="BAE2" s="409" t="s">
        <v>178</v>
      </c>
      <c r="BAF2" s="409" t="s">
        <v>179</v>
      </c>
      <c r="BAG2" s="409" t="s">
        <v>180</v>
      </c>
      <c r="BAH2" s="409" t="s">
        <v>174</v>
      </c>
      <c r="BAI2" s="409" t="s">
        <v>175</v>
      </c>
      <c r="BAJ2" s="409" t="s">
        <v>176</v>
      </c>
      <c r="BAK2" s="409" t="s">
        <v>177</v>
      </c>
      <c r="BAL2" s="409" t="s">
        <v>178</v>
      </c>
      <c r="BAM2" s="409" t="s">
        <v>179</v>
      </c>
      <c r="BAN2" s="409" t="s">
        <v>180</v>
      </c>
      <c r="BAO2" s="409" t="s">
        <v>174</v>
      </c>
      <c r="BAP2" s="409" t="s">
        <v>175</v>
      </c>
      <c r="BAQ2" s="409" t="s">
        <v>176</v>
      </c>
      <c r="BAR2" s="409" t="s">
        <v>177</v>
      </c>
      <c r="BAS2" s="409" t="s">
        <v>178</v>
      </c>
      <c r="BAT2" s="409" t="s">
        <v>179</v>
      </c>
      <c r="BAU2" s="409" t="s">
        <v>180</v>
      </c>
      <c r="BAV2" s="409" t="s">
        <v>174</v>
      </c>
      <c r="BAW2" s="409" t="s">
        <v>175</v>
      </c>
      <c r="BAX2" s="409" t="s">
        <v>176</v>
      </c>
      <c r="BAY2" s="409" t="s">
        <v>177</v>
      </c>
      <c r="BAZ2" s="409" t="s">
        <v>178</v>
      </c>
      <c r="BBA2" s="409" t="s">
        <v>179</v>
      </c>
      <c r="BBB2" s="409" t="s">
        <v>180</v>
      </c>
      <c r="BBC2" s="409" t="s">
        <v>174</v>
      </c>
      <c r="BBD2" s="409" t="s">
        <v>175</v>
      </c>
      <c r="BBE2" s="409" t="s">
        <v>176</v>
      </c>
      <c r="BBF2" s="418" t="s">
        <v>177</v>
      </c>
      <c r="BBG2" s="415" t="s">
        <v>178</v>
      </c>
      <c r="BBH2" s="409" t="s">
        <v>179</v>
      </c>
      <c r="BBI2" s="409" t="s">
        <v>180</v>
      </c>
      <c r="BBJ2" s="409" t="s">
        <v>174</v>
      </c>
      <c r="BBK2" s="409" t="s">
        <v>175</v>
      </c>
      <c r="BBL2" s="409" t="s">
        <v>176</v>
      </c>
      <c r="BBM2" s="409" t="s">
        <v>177</v>
      </c>
      <c r="BBN2" s="409" t="s">
        <v>178</v>
      </c>
      <c r="BBO2" s="418" t="s">
        <v>179</v>
      </c>
      <c r="BBP2" s="415" t="s">
        <v>180</v>
      </c>
      <c r="BBQ2" s="409" t="s">
        <v>174</v>
      </c>
      <c r="BBR2" s="409" t="s">
        <v>175</v>
      </c>
      <c r="BBS2" s="409" t="s">
        <v>176</v>
      </c>
      <c r="BBT2" s="409" t="s">
        <v>177</v>
      </c>
      <c r="BBU2" s="409" t="s">
        <v>178</v>
      </c>
      <c r="BBV2" s="409" t="s">
        <v>179</v>
      </c>
      <c r="BBW2" s="409" t="s">
        <v>180</v>
      </c>
      <c r="BBX2" s="409" t="s">
        <v>174</v>
      </c>
      <c r="BBY2" s="409" t="s">
        <v>175</v>
      </c>
      <c r="BBZ2" s="409" t="s">
        <v>176</v>
      </c>
      <c r="BCA2" s="409" t="s">
        <v>177</v>
      </c>
      <c r="BCB2" s="409" t="s">
        <v>178</v>
      </c>
      <c r="BCC2" s="409" t="s">
        <v>179</v>
      </c>
      <c r="BCD2" s="409" t="s">
        <v>180</v>
      </c>
      <c r="BCE2" s="409" t="s">
        <v>174</v>
      </c>
      <c r="BCF2" s="409" t="s">
        <v>175</v>
      </c>
      <c r="BCG2" s="409" t="s">
        <v>176</v>
      </c>
      <c r="BCH2" s="409" t="s">
        <v>177</v>
      </c>
      <c r="BCI2" s="409" t="s">
        <v>178</v>
      </c>
      <c r="BCJ2" s="409" t="s">
        <v>179</v>
      </c>
      <c r="BCK2" s="409" t="s">
        <v>180</v>
      </c>
      <c r="BCL2" s="409" t="s">
        <v>174</v>
      </c>
      <c r="BCM2" s="409" t="s">
        <v>175</v>
      </c>
      <c r="BCN2" s="409" t="s">
        <v>176</v>
      </c>
      <c r="BCO2" s="409" t="s">
        <v>177</v>
      </c>
      <c r="BCP2" s="409" t="s">
        <v>178</v>
      </c>
      <c r="BCQ2" s="409" t="s">
        <v>179</v>
      </c>
      <c r="BCR2" s="409" t="s">
        <v>180</v>
      </c>
      <c r="BCS2" s="420" t="s">
        <v>174</v>
      </c>
      <c r="BCT2" s="423" t="s">
        <v>175</v>
      </c>
      <c r="BCU2" s="409" t="s">
        <v>176</v>
      </c>
      <c r="BCV2" s="409" t="s">
        <v>177</v>
      </c>
      <c r="BCW2" s="409" t="s">
        <v>178</v>
      </c>
      <c r="BCX2" s="409" t="s">
        <v>179</v>
      </c>
      <c r="BCY2" s="409" t="s">
        <v>180</v>
      </c>
      <c r="BCZ2" s="409" t="s">
        <v>174</v>
      </c>
      <c r="BDA2" s="409" t="s">
        <v>175</v>
      </c>
      <c r="BDB2" s="409" t="s">
        <v>176</v>
      </c>
      <c r="BDC2" s="409" t="s">
        <v>177</v>
      </c>
      <c r="BDD2" s="409" t="s">
        <v>178</v>
      </c>
      <c r="BDE2" s="409" t="s">
        <v>179</v>
      </c>
      <c r="BDF2" s="409" t="s">
        <v>180</v>
      </c>
      <c r="BDG2" s="409" t="s">
        <v>174</v>
      </c>
      <c r="BDH2" s="409" t="s">
        <v>175</v>
      </c>
      <c r="BDI2" s="409" t="s">
        <v>176</v>
      </c>
      <c r="BDJ2" s="409" t="s">
        <v>177</v>
      </c>
      <c r="BDK2" s="409" t="s">
        <v>178</v>
      </c>
      <c r="BDL2" s="409" t="s">
        <v>179</v>
      </c>
      <c r="BDM2" s="409" t="s">
        <v>180</v>
      </c>
      <c r="BDN2" s="409" t="s">
        <v>174</v>
      </c>
      <c r="BDO2" s="409" t="s">
        <v>175</v>
      </c>
      <c r="BDP2" s="409" t="s">
        <v>176</v>
      </c>
      <c r="BDQ2" s="409" t="s">
        <v>177</v>
      </c>
      <c r="BDR2" s="409" t="s">
        <v>178</v>
      </c>
      <c r="BDS2" s="409" t="s">
        <v>179</v>
      </c>
      <c r="BDT2" s="409" t="s">
        <v>180</v>
      </c>
      <c r="BDU2" s="409" t="s">
        <v>174</v>
      </c>
      <c r="BDV2" s="409" t="s">
        <v>175</v>
      </c>
      <c r="BDW2" s="409" t="s">
        <v>176</v>
      </c>
      <c r="BDX2" s="418" t="s">
        <v>177</v>
      </c>
      <c r="BDY2" s="415" t="s">
        <v>178</v>
      </c>
      <c r="BDZ2" s="409" t="s">
        <v>179</v>
      </c>
      <c r="BEA2" s="409" t="s">
        <v>180</v>
      </c>
      <c r="BEB2" s="409" t="s">
        <v>174</v>
      </c>
      <c r="BEC2" s="409" t="s">
        <v>175</v>
      </c>
      <c r="BED2" s="409" t="s">
        <v>176</v>
      </c>
    </row>
    <row r="3" spans="1:1486" ht="17.25" customHeight="1" x14ac:dyDescent="0.2">
      <c r="A3" s="492" t="s">
        <v>181</v>
      </c>
      <c r="B3" s="493"/>
      <c r="C3" s="493"/>
      <c r="D3" s="491" t="s">
        <v>182</v>
      </c>
      <c r="E3" s="491"/>
      <c r="F3" s="491"/>
      <c r="G3" s="414">
        <v>19</v>
      </c>
      <c r="H3" s="411">
        <v>20</v>
      </c>
      <c r="I3" s="411">
        <v>21</v>
      </c>
      <c r="J3" s="411">
        <v>22</v>
      </c>
      <c r="K3" s="411">
        <v>23</v>
      </c>
      <c r="L3" s="411">
        <v>24</v>
      </c>
      <c r="M3" s="411">
        <v>25</v>
      </c>
      <c r="N3" s="411">
        <v>26</v>
      </c>
      <c r="O3" s="411">
        <v>27</v>
      </c>
      <c r="P3" s="411">
        <v>28</v>
      </c>
      <c r="Q3" s="411">
        <v>29</v>
      </c>
      <c r="R3" s="411">
        <v>30</v>
      </c>
      <c r="S3" s="419">
        <v>31</v>
      </c>
      <c r="T3" s="416">
        <v>1</v>
      </c>
      <c r="U3" s="411">
        <v>2</v>
      </c>
      <c r="V3" s="411">
        <v>3</v>
      </c>
      <c r="W3" s="411">
        <v>4</v>
      </c>
      <c r="X3" s="411">
        <v>5</v>
      </c>
      <c r="Y3" s="411">
        <v>6</v>
      </c>
      <c r="Z3" s="411">
        <v>7</v>
      </c>
      <c r="AA3" s="411">
        <v>8</v>
      </c>
      <c r="AB3" s="411">
        <v>9</v>
      </c>
      <c r="AC3" s="411">
        <v>10</v>
      </c>
      <c r="AD3" s="411">
        <v>11</v>
      </c>
      <c r="AE3" s="411">
        <v>12</v>
      </c>
      <c r="AF3" s="411">
        <v>13</v>
      </c>
      <c r="AG3" s="411">
        <v>14</v>
      </c>
      <c r="AH3" s="411">
        <v>15</v>
      </c>
      <c r="AI3" s="411">
        <v>16</v>
      </c>
      <c r="AJ3" s="411">
        <v>17</v>
      </c>
      <c r="AK3" s="411">
        <v>18</v>
      </c>
      <c r="AL3" s="411">
        <v>19</v>
      </c>
      <c r="AM3" s="411">
        <v>20</v>
      </c>
      <c r="AN3" s="411">
        <v>21</v>
      </c>
      <c r="AO3" s="412">
        <v>22</v>
      </c>
      <c r="AP3" s="411">
        <v>23</v>
      </c>
      <c r="AQ3" s="411">
        <v>24</v>
      </c>
      <c r="AR3" s="411">
        <v>25</v>
      </c>
      <c r="AS3" s="411">
        <v>26</v>
      </c>
      <c r="AT3" s="411">
        <v>27</v>
      </c>
      <c r="AU3" s="411">
        <v>28</v>
      </c>
      <c r="AV3" s="411">
        <v>29</v>
      </c>
      <c r="AW3" s="421">
        <v>30</v>
      </c>
      <c r="AX3" s="424">
        <v>1</v>
      </c>
      <c r="AY3" s="411">
        <v>2</v>
      </c>
      <c r="AZ3" s="411">
        <v>3</v>
      </c>
      <c r="BA3" s="411">
        <v>4</v>
      </c>
      <c r="BB3" s="411">
        <v>5</v>
      </c>
      <c r="BC3" s="411">
        <v>6</v>
      </c>
      <c r="BD3" s="411">
        <v>7</v>
      </c>
      <c r="BE3" s="411">
        <v>8</v>
      </c>
      <c r="BF3" s="411">
        <v>9</v>
      </c>
      <c r="BG3" s="411">
        <v>10</v>
      </c>
      <c r="BH3" s="411">
        <v>11</v>
      </c>
      <c r="BI3" s="411">
        <v>12</v>
      </c>
      <c r="BJ3" s="411">
        <v>13</v>
      </c>
      <c r="BK3" s="411">
        <v>14</v>
      </c>
      <c r="BL3" s="411">
        <v>15</v>
      </c>
      <c r="BM3" s="411">
        <v>16</v>
      </c>
      <c r="BN3" s="411">
        <v>17</v>
      </c>
      <c r="BO3" s="411">
        <v>18</v>
      </c>
      <c r="BP3" s="411">
        <v>19</v>
      </c>
      <c r="BQ3" s="411">
        <v>20</v>
      </c>
      <c r="BR3" s="411">
        <v>21</v>
      </c>
      <c r="BS3" s="412">
        <v>22</v>
      </c>
      <c r="BT3" s="411">
        <v>23</v>
      </c>
      <c r="BU3" s="411">
        <v>24</v>
      </c>
      <c r="BV3" s="411">
        <v>25</v>
      </c>
      <c r="BW3" s="411">
        <v>26</v>
      </c>
      <c r="BX3" s="411">
        <v>27</v>
      </c>
      <c r="BY3" s="411">
        <v>28</v>
      </c>
      <c r="BZ3" s="411">
        <v>29</v>
      </c>
      <c r="CA3" s="411">
        <v>30</v>
      </c>
      <c r="CB3" s="419">
        <v>31</v>
      </c>
      <c r="CC3" s="416">
        <v>1</v>
      </c>
      <c r="CD3" s="411">
        <v>2</v>
      </c>
      <c r="CE3" s="411">
        <v>3</v>
      </c>
      <c r="CF3" s="411">
        <v>4</v>
      </c>
      <c r="CG3" s="411">
        <v>5</v>
      </c>
      <c r="CH3" s="411">
        <v>6</v>
      </c>
      <c r="CI3" s="411">
        <v>7</v>
      </c>
      <c r="CJ3" s="411">
        <v>8</v>
      </c>
      <c r="CK3" s="411">
        <v>9</v>
      </c>
      <c r="CL3" s="411">
        <v>10</v>
      </c>
      <c r="CM3" s="411">
        <v>11</v>
      </c>
      <c r="CN3" s="411">
        <v>12</v>
      </c>
      <c r="CO3" s="411">
        <v>13</v>
      </c>
      <c r="CP3" s="411">
        <v>14</v>
      </c>
      <c r="CQ3" s="411">
        <v>15</v>
      </c>
      <c r="CR3" s="411">
        <v>16</v>
      </c>
      <c r="CS3" s="411">
        <v>17</v>
      </c>
      <c r="CT3" s="411">
        <v>18</v>
      </c>
      <c r="CU3" s="411">
        <v>19</v>
      </c>
      <c r="CV3" s="411">
        <v>20</v>
      </c>
      <c r="CW3" s="411">
        <v>21</v>
      </c>
      <c r="CX3" s="412">
        <v>22</v>
      </c>
      <c r="CY3" s="411">
        <v>23</v>
      </c>
      <c r="CZ3" s="411">
        <v>24</v>
      </c>
      <c r="DA3" s="411">
        <v>25</v>
      </c>
      <c r="DB3" s="411">
        <v>26</v>
      </c>
      <c r="DC3" s="411">
        <v>27</v>
      </c>
      <c r="DD3" s="411">
        <v>28</v>
      </c>
      <c r="DE3" s="411">
        <v>29</v>
      </c>
      <c r="DF3" s="419">
        <v>30</v>
      </c>
      <c r="DG3" s="416">
        <v>1</v>
      </c>
      <c r="DH3" s="411">
        <v>2</v>
      </c>
      <c r="DI3" s="411">
        <v>3</v>
      </c>
      <c r="DJ3" s="411">
        <v>4</v>
      </c>
      <c r="DK3" s="411">
        <v>5</v>
      </c>
      <c r="DL3" s="411">
        <v>6</v>
      </c>
      <c r="DM3" s="411">
        <v>7</v>
      </c>
      <c r="DN3" s="411">
        <v>8</v>
      </c>
      <c r="DO3" s="411">
        <v>9</v>
      </c>
      <c r="DP3" s="411">
        <v>10</v>
      </c>
      <c r="DQ3" s="411">
        <v>11</v>
      </c>
      <c r="DR3" s="411">
        <v>12</v>
      </c>
      <c r="DS3" s="411">
        <v>13</v>
      </c>
      <c r="DT3" s="411">
        <v>14</v>
      </c>
      <c r="DU3" s="411">
        <v>15</v>
      </c>
      <c r="DV3" s="411">
        <v>16</v>
      </c>
      <c r="DW3" s="411">
        <v>17</v>
      </c>
      <c r="DX3" s="411">
        <v>18</v>
      </c>
      <c r="DY3" s="411">
        <v>19</v>
      </c>
      <c r="DZ3" s="411">
        <v>20</v>
      </c>
      <c r="EA3" s="411">
        <v>21</v>
      </c>
      <c r="EB3" s="412">
        <v>22</v>
      </c>
      <c r="EC3" s="411">
        <v>23</v>
      </c>
      <c r="ED3" s="411">
        <v>24</v>
      </c>
      <c r="EE3" s="411">
        <v>25</v>
      </c>
      <c r="EF3" s="411">
        <v>26</v>
      </c>
      <c r="EG3" s="411">
        <v>27</v>
      </c>
      <c r="EH3" s="411">
        <v>28</v>
      </c>
      <c r="EI3" s="411">
        <v>29</v>
      </c>
      <c r="EJ3" s="411">
        <v>30</v>
      </c>
      <c r="EK3" s="419">
        <v>31</v>
      </c>
      <c r="EL3" s="416">
        <v>1</v>
      </c>
      <c r="EM3" s="411">
        <v>2</v>
      </c>
      <c r="EN3" s="411">
        <v>3</v>
      </c>
      <c r="EO3" s="411">
        <v>4</v>
      </c>
      <c r="EP3" s="411">
        <v>5</v>
      </c>
      <c r="EQ3" s="411">
        <v>6</v>
      </c>
      <c r="ER3" s="411">
        <v>7</v>
      </c>
      <c r="ES3" s="411">
        <v>8</v>
      </c>
      <c r="ET3" s="411">
        <v>9</v>
      </c>
      <c r="EU3" s="411">
        <v>10</v>
      </c>
      <c r="EV3" s="411">
        <v>11</v>
      </c>
      <c r="EW3" s="411">
        <v>12</v>
      </c>
      <c r="EX3" s="411">
        <v>13</v>
      </c>
      <c r="EY3" s="411">
        <v>14</v>
      </c>
      <c r="EZ3" s="411">
        <v>15</v>
      </c>
      <c r="FA3" s="411">
        <v>16</v>
      </c>
      <c r="FB3" s="411">
        <v>17</v>
      </c>
      <c r="FC3" s="411">
        <v>18</v>
      </c>
      <c r="FD3" s="411">
        <v>19</v>
      </c>
      <c r="FE3" s="411">
        <v>20</v>
      </c>
      <c r="FF3" s="411">
        <v>21</v>
      </c>
      <c r="FG3" s="412">
        <v>22</v>
      </c>
      <c r="FH3" s="411">
        <v>23</v>
      </c>
      <c r="FI3" s="411">
        <v>24</v>
      </c>
      <c r="FJ3" s="411">
        <v>25</v>
      </c>
      <c r="FK3" s="411">
        <v>26</v>
      </c>
      <c r="FL3" s="411">
        <v>27</v>
      </c>
      <c r="FM3" s="411">
        <v>28</v>
      </c>
      <c r="FN3" s="411">
        <v>29</v>
      </c>
      <c r="FO3" s="411">
        <v>30</v>
      </c>
      <c r="FP3" s="419">
        <v>31</v>
      </c>
      <c r="FQ3" s="416">
        <v>1</v>
      </c>
      <c r="FR3" s="411">
        <v>2</v>
      </c>
      <c r="FS3" s="411">
        <v>3</v>
      </c>
      <c r="FT3" s="411">
        <v>4</v>
      </c>
      <c r="FU3" s="411">
        <v>5</v>
      </c>
      <c r="FV3" s="411">
        <v>6</v>
      </c>
      <c r="FW3" s="411">
        <v>7</v>
      </c>
      <c r="FX3" s="411">
        <v>8</v>
      </c>
      <c r="FY3" s="411">
        <v>9</v>
      </c>
      <c r="FZ3" s="411">
        <v>10</v>
      </c>
      <c r="GA3" s="411">
        <v>11</v>
      </c>
      <c r="GB3" s="411">
        <v>12</v>
      </c>
      <c r="GC3" s="411">
        <v>13</v>
      </c>
      <c r="GD3" s="411">
        <v>14</v>
      </c>
      <c r="GE3" s="411">
        <v>15</v>
      </c>
      <c r="GF3" s="411">
        <v>16</v>
      </c>
      <c r="GG3" s="411">
        <v>17</v>
      </c>
      <c r="GH3" s="411">
        <v>18</v>
      </c>
      <c r="GI3" s="411">
        <v>19</v>
      </c>
      <c r="GJ3" s="411">
        <v>20</v>
      </c>
      <c r="GK3" s="411">
        <v>21</v>
      </c>
      <c r="GL3" s="412">
        <v>22</v>
      </c>
      <c r="GM3" s="411">
        <v>23</v>
      </c>
      <c r="GN3" s="411">
        <v>24</v>
      </c>
      <c r="GO3" s="411">
        <v>25</v>
      </c>
      <c r="GP3" s="411">
        <v>26</v>
      </c>
      <c r="GQ3" s="411">
        <v>27</v>
      </c>
      <c r="GR3" s="419">
        <v>28</v>
      </c>
      <c r="GS3" s="416">
        <v>1</v>
      </c>
      <c r="GT3" s="411">
        <v>2</v>
      </c>
      <c r="GU3" s="411">
        <v>3</v>
      </c>
      <c r="GV3" s="411">
        <v>4</v>
      </c>
      <c r="GW3" s="411">
        <v>5</v>
      </c>
      <c r="GX3" s="411">
        <v>6</v>
      </c>
      <c r="GY3" s="411">
        <v>7</v>
      </c>
      <c r="GZ3" s="411">
        <v>8</v>
      </c>
      <c r="HA3" s="411">
        <v>9</v>
      </c>
      <c r="HB3" s="411">
        <v>10</v>
      </c>
      <c r="HC3" s="411">
        <v>11</v>
      </c>
      <c r="HD3" s="411">
        <v>12</v>
      </c>
      <c r="HE3" s="411">
        <v>13</v>
      </c>
      <c r="HF3" s="411">
        <v>14</v>
      </c>
      <c r="HG3" s="411">
        <v>15</v>
      </c>
      <c r="HH3" s="411">
        <v>16</v>
      </c>
      <c r="HI3" s="411">
        <v>17</v>
      </c>
      <c r="HJ3" s="411">
        <v>18</v>
      </c>
      <c r="HK3" s="411">
        <v>19</v>
      </c>
      <c r="HL3" s="411">
        <v>20</v>
      </c>
      <c r="HM3" s="411">
        <v>21</v>
      </c>
      <c r="HN3" s="412">
        <v>22</v>
      </c>
      <c r="HO3" s="411">
        <v>23</v>
      </c>
      <c r="HP3" s="411">
        <v>24</v>
      </c>
      <c r="HQ3" s="411">
        <v>25</v>
      </c>
      <c r="HR3" s="411">
        <v>26</v>
      </c>
      <c r="HS3" s="411">
        <v>27</v>
      </c>
      <c r="HT3" s="411">
        <v>28</v>
      </c>
      <c r="HU3" s="411">
        <v>29</v>
      </c>
      <c r="HV3" s="411">
        <v>30</v>
      </c>
      <c r="HW3" s="419">
        <v>31</v>
      </c>
      <c r="HX3" s="416">
        <v>1</v>
      </c>
      <c r="HY3" s="411">
        <v>2</v>
      </c>
      <c r="HZ3" s="411">
        <v>3</v>
      </c>
      <c r="IA3" s="411">
        <v>4</v>
      </c>
      <c r="IB3" s="411">
        <v>5</v>
      </c>
      <c r="IC3" s="411">
        <v>6</v>
      </c>
      <c r="ID3" s="411">
        <v>7</v>
      </c>
      <c r="IE3" s="411">
        <v>8</v>
      </c>
      <c r="IF3" s="411">
        <v>9</v>
      </c>
      <c r="IG3" s="411">
        <v>10</v>
      </c>
      <c r="IH3" s="411">
        <v>11</v>
      </c>
      <c r="II3" s="411">
        <v>12</v>
      </c>
      <c r="IJ3" s="411">
        <v>13</v>
      </c>
      <c r="IK3" s="411">
        <v>14</v>
      </c>
      <c r="IL3" s="411">
        <v>15</v>
      </c>
      <c r="IM3" s="411">
        <v>16</v>
      </c>
      <c r="IN3" s="411">
        <v>17</v>
      </c>
      <c r="IO3" s="411">
        <v>18</v>
      </c>
      <c r="IP3" s="411">
        <v>19</v>
      </c>
      <c r="IQ3" s="411">
        <v>20</v>
      </c>
      <c r="IR3" s="411">
        <v>21</v>
      </c>
      <c r="IS3" s="412">
        <v>22</v>
      </c>
      <c r="IT3" s="411">
        <v>23</v>
      </c>
      <c r="IU3" s="411">
        <v>24</v>
      </c>
      <c r="IV3" s="411">
        <v>25</v>
      </c>
      <c r="IW3" s="411">
        <v>26</v>
      </c>
      <c r="IX3" s="411">
        <v>27</v>
      </c>
      <c r="IY3" s="411">
        <v>28</v>
      </c>
      <c r="IZ3" s="411">
        <v>29</v>
      </c>
      <c r="JA3" s="419">
        <v>30</v>
      </c>
      <c r="JB3" s="416">
        <v>1</v>
      </c>
      <c r="JC3" s="411">
        <v>2</v>
      </c>
      <c r="JD3" s="411">
        <v>3</v>
      </c>
      <c r="JE3" s="411">
        <v>4</v>
      </c>
      <c r="JF3" s="411">
        <v>5</v>
      </c>
      <c r="JG3" s="411">
        <v>6</v>
      </c>
      <c r="JH3" s="411">
        <v>7</v>
      </c>
      <c r="JI3" s="411">
        <v>8</v>
      </c>
      <c r="JJ3" s="411">
        <v>9</v>
      </c>
      <c r="JK3" s="411">
        <v>10</v>
      </c>
      <c r="JL3" s="411">
        <v>11</v>
      </c>
      <c r="JM3" s="411">
        <v>12</v>
      </c>
      <c r="JN3" s="411">
        <v>13</v>
      </c>
      <c r="JO3" s="411">
        <v>14</v>
      </c>
      <c r="JP3" s="411">
        <v>15</v>
      </c>
      <c r="JQ3" s="411">
        <v>16</v>
      </c>
      <c r="JR3" s="411">
        <v>17</v>
      </c>
      <c r="JS3" s="411">
        <v>18</v>
      </c>
      <c r="JT3" s="411">
        <v>19</v>
      </c>
      <c r="JU3" s="411">
        <v>20</v>
      </c>
      <c r="JV3" s="411">
        <v>21</v>
      </c>
      <c r="JW3" s="412">
        <v>22</v>
      </c>
      <c r="JX3" s="411">
        <v>23</v>
      </c>
      <c r="JY3" s="411">
        <v>24</v>
      </c>
      <c r="JZ3" s="411">
        <v>25</v>
      </c>
      <c r="KA3" s="411">
        <v>26</v>
      </c>
      <c r="KB3" s="411">
        <v>27</v>
      </c>
      <c r="KC3" s="411">
        <v>28</v>
      </c>
      <c r="KD3" s="411">
        <v>29</v>
      </c>
      <c r="KE3" s="411">
        <v>30</v>
      </c>
      <c r="KF3" s="419">
        <v>31</v>
      </c>
      <c r="KG3" s="416">
        <v>1</v>
      </c>
      <c r="KH3" s="411">
        <v>2</v>
      </c>
      <c r="KI3" s="411">
        <v>3</v>
      </c>
      <c r="KJ3" s="411">
        <v>4</v>
      </c>
      <c r="KK3" s="411">
        <v>5</v>
      </c>
      <c r="KL3" s="411">
        <v>6</v>
      </c>
      <c r="KM3" s="411">
        <v>7</v>
      </c>
      <c r="KN3" s="411">
        <v>8</v>
      </c>
      <c r="KO3" s="411">
        <v>9</v>
      </c>
      <c r="KP3" s="411">
        <v>10</v>
      </c>
      <c r="KQ3" s="411">
        <v>11</v>
      </c>
      <c r="KR3" s="411">
        <v>12</v>
      </c>
      <c r="KS3" s="411">
        <v>13</v>
      </c>
      <c r="KT3" s="411">
        <v>14</v>
      </c>
      <c r="KU3" s="411">
        <v>15</v>
      </c>
      <c r="KV3" s="411">
        <v>16</v>
      </c>
      <c r="KW3" s="411">
        <v>17</v>
      </c>
      <c r="KX3" s="411">
        <v>18</v>
      </c>
      <c r="KY3" s="411">
        <v>19</v>
      </c>
      <c r="KZ3" s="411">
        <v>20</v>
      </c>
      <c r="LA3" s="411">
        <v>21</v>
      </c>
      <c r="LB3" s="412">
        <v>22</v>
      </c>
      <c r="LC3" s="411">
        <v>23</v>
      </c>
      <c r="LD3" s="411">
        <v>24</v>
      </c>
      <c r="LE3" s="411">
        <v>25</v>
      </c>
      <c r="LF3" s="411">
        <v>26</v>
      </c>
      <c r="LG3" s="411">
        <v>27</v>
      </c>
      <c r="LH3" s="411">
        <v>28</v>
      </c>
      <c r="LI3" s="411">
        <v>29</v>
      </c>
      <c r="LJ3" s="419">
        <v>30</v>
      </c>
      <c r="LK3" s="416"/>
    </row>
    <row r="4" spans="1:1486" s="3" customFormat="1" ht="17.25" customHeight="1" x14ac:dyDescent="0.2">
      <c r="A4" s="494" t="s">
        <v>183</v>
      </c>
      <c r="B4" s="494"/>
      <c r="C4" s="494"/>
      <c r="D4" s="494"/>
      <c r="E4" s="494"/>
      <c r="F4" s="494"/>
      <c r="G4" s="448" cm="1">
        <f t="array" ref="G4">IF($A$2=0,0, SUM(COUNTIF(G5:G50,{1,2})) / $A$2)</f>
        <v>0</v>
      </c>
      <c r="H4" s="448" cm="1">
        <f t="array" ref="H4">IF($A$2=0,0, SUM(COUNTIF(H5:H50,{1,2})) / $A$2)</f>
        <v>0</v>
      </c>
      <c r="I4" s="448" cm="1">
        <f t="array" ref="I4">IF($A$2=0,0, SUM(COUNTIF(I5:I50,{1,2})) / $A$2)</f>
        <v>0</v>
      </c>
      <c r="J4" s="448" cm="1">
        <f t="array" ref="J4">IF($A$2=0,0, SUM(COUNTIF(J5:J50,{1,2})) / $A$2)</f>
        <v>0</v>
      </c>
      <c r="K4" s="448" cm="1">
        <f t="array" ref="K4">IF($A$2=0,0, SUM(COUNTIF(K5:K50,{1,2})) / $A$2)</f>
        <v>0</v>
      </c>
      <c r="L4" s="448" cm="1">
        <f t="array" ref="L4">IF($A$2=0,0, SUM(COUNTIF(L5:L50,{1,2})) / $A$2)</f>
        <v>0</v>
      </c>
      <c r="M4" s="448" cm="1">
        <f t="array" ref="M4">IF($A$2=0,0, SUM(COUNTIF(M5:M50,{1,2})) / $A$2)</f>
        <v>0</v>
      </c>
      <c r="N4" s="448" cm="1">
        <f t="array" ref="N4">IF($A$2=0,0, SUM(COUNTIF(N5:N50,{1,2})) / $A$2)</f>
        <v>0</v>
      </c>
      <c r="O4" s="448" cm="1">
        <f t="array" ref="O4">IF($A$2=0,0, SUM(COUNTIF(O5:O50,{1,2})) / $A$2)</f>
        <v>0</v>
      </c>
      <c r="P4" s="448" cm="1">
        <f t="array" ref="P4">IF($A$2=0,0, SUM(COUNTIF(P5:P50,{1,2})) / $A$2)</f>
        <v>0</v>
      </c>
      <c r="Q4" s="448" cm="1">
        <f t="array" ref="Q4">IF($A$2=0,0, SUM(COUNTIF(Q5:Q50,{1,2})) / $A$2)</f>
        <v>0</v>
      </c>
      <c r="R4" s="448" cm="1">
        <f t="array" ref="R4">IF($A$2=0,0, SUM(COUNTIF(R5:R50,{1,2})) / $A$2)</f>
        <v>0</v>
      </c>
      <c r="S4" s="450" cm="1">
        <f t="array" ref="S4">IF($A$2=0,0, SUM(COUNTIF(S5:S50,{1,2})) / $A$2)</f>
        <v>0</v>
      </c>
      <c r="T4" s="449" cm="1">
        <f t="array" ref="T4">IF($A$2=0,0, SUM(COUNTIF(T5:T50,{1,2})) / $A$2)</f>
        <v>0</v>
      </c>
      <c r="U4" s="448" cm="1">
        <f t="array" ref="U4">IF($A$2=0,0, SUM(COUNTIF(U5:U50,{1,2})) / $A$2)</f>
        <v>0</v>
      </c>
      <c r="V4" s="448" cm="1">
        <f t="array" ref="V4">IF($A$2=0,0, SUM(COUNTIF(V5:V50,{1,2})) / $A$2)</f>
        <v>0</v>
      </c>
      <c r="W4" s="448" cm="1">
        <f t="array" ref="W4">IF($A$2=0,0, SUM(COUNTIF(W5:W50,{1,2})) / $A$2)</f>
        <v>0</v>
      </c>
      <c r="X4" s="448" cm="1">
        <f t="array" ref="X4">IF($A$2=0,0, SUM(COUNTIF(X5:X50,{1,2})) / $A$2)</f>
        <v>0</v>
      </c>
      <c r="Y4" s="448" cm="1">
        <f t="array" ref="Y4">IF($A$2=0,0, SUM(COUNTIF(Y5:Y50,{1,2})) / $A$2)</f>
        <v>0</v>
      </c>
      <c r="Z4" s="448" cm="1">
        <f t="array" ref="Z4">IF($A$2=0,0, SUM(COUNTIF(Z5:Z50,{1,2})) / $A$2)</f>
        <v>0</v>
      </c>
      <c r="AA4" s="448" cm="1">
        <f t="array" ref="AA4">IF($A$2=0,0, SUM(COUNTIF(AA5:AA50,{1,2})) / $A$2)</f>
        <v>0</v>
      </c>
      <c r="AB4" s="448" cm="1">
        <f t="array" ref="AB4">IF($A$2=0,0, SUM(COUNTIF(AB5:AB50,{1,2})) / $A$2)</f>
        <v>0</v>
      </c>
      <c r="AC4" s="448" cm="1">
        <f t="array" ref="AC4">IF($A$2=0,0, SUM(COUNTIF(AC5:AC50,{1,2})) / $A$2)</f>
        <v>0</v>
      </c>
      <c r="AD4" s="448" cm="1">
        <f t="array" ref="AD4">IF($A$2=0,0, SUM(COUNTIF(AD5:AD50,{1,2})) / $A$2)</f>
        <v>0</v>
      </c>
      <c r="AE4" s="448" cm="1">
        <f t="array" ref="AE4">IF($A$2=0,0, SUM(COUNTIF(AE5:AE50,{1,2})) / $A$2)</f>
        <v>0</v>
      </c>
      <c r="AF4" s="448" cm="1">
        <f t="array" ref="AF4">IF($A$2=0,0, SUM(COUNTIF(AF5:AF50,{1,2})) / $A$2)</f>
        <v>0</v>
      </c>
      <c r="AG4" s="448" cm="1">
        <f t="array" ref="AG4">IF($A$2=0,0, SUM(COUNTIF(AG5:AG50,{1,2})) / $A$2)</f>
        <v>0</v>
      </c>
      <c r="AH4" s="448" cm="1">
        <f t="array" ref="AH4">IF($A$2=0,0, SUM(COUNTIF(AH5:AH50,{1,2})) / $A$2)</f>
        <v>0</v>
      </c>
      <c r="AI4" s="448" cm="1">
        <f t="array" ref="AI4">IF($A$2=0,0, SUM(COUNTIF(AI5:AI50,{1,2})) / $A$2)</f>
        <v>0</v>
      </c>
      <c r="AJ4" s="448" cm="1">
        <f t="array" ref="AJ4">IF($A$2=0,0, SUM(COUNTIF(AJ5:AJ50,{1,2})) / $A$2)</f>
        <v>0</v>
      </c>
      <c r="AK4" s="448" cm="1">
        <f t="array" ref="AK4">IF($A$2=0,0, SUM(COUNTIF(AK5:AK50,{1,2})) / $A$2)</f>
        <v>0</v>
      </c>
      <c r="AL4" s="448" cm="1">
        <f t="array" ref="AL4">IF($A$2=0,0, SUM(COUNTIF(AL5:AL50,{1,2})) / $A$2)</f>
        <v>0</v>
      </c>
      <c r="AM4" s="448" cm="1">
        <f t="array" ref="AM4">IF($A$2=0,0, SUM(COUNTIF(AM5:AM50,{1,2})) / $A$2)</f>
        <v>0</v>
      </c>
      <c r="AN4" s="448" cm="1">
        <f t="array" ref="AN4">IF($A$2=0,0, SUM(COUNTIF(AN5:AN50,{1,2})) / $A$2)</f>
        <v>0</v>
      </c>
      <c r="AO4" s="448" cm="1">
        <f t="array" ref="AO4">IF($A$2=0,0, SUM(COUNTIF(AO5:AO50,{1,2})) / $A$2)</f>
        <v>0</v>
      </c>
      <c r="AP4" s="448" cm="1">
        <f t="array" ref="AP4">IF($A$2=0,0, SUM(COUNTIF(AP5:AP50,{1,2})) / $A$2)</f>
        <v>0</v>
      </c>
      <c r="AQ4" s="448" cm="1">
        <f t="array" ref="AQ4">IF($A$2=0,0, SUM(COUNTIF(AQ5:AQ50,{1,2})) / $A$2)</f>
        <v>0</v>
      </c>
      <c r="AR4" s="448" cm="1">
        <f t="array" ref="AR4">IF($A$2=0,0, SUM(COUNTIF(AR5:AR50,{1,2})) / $A$2)</f>
        <v>0</v>
      </c>
      <c r="AS4" s="448" cm="1">
        <f t="array" ref="AS4">IF($A$2=0,0, SUM(COUNTIF(AS5:AS50,{1,2})) / $A$2)</f>
        <v>0</v>
      </c>
      <c r="AT4" s="448" cm="1">
        <f t="array" ref="AT4">IF($A$2=0,0, SUM(COUNTIF(AT5:AT50,{1,2})) / $A$2)</f>
        <v>0</v>
      </c>
      <c r="AU4" s="448" cm="1">
        <f t="array" ref="AU4">IF($A$2=0,0, SUM(COUNTIF(AU5:AU50,{1,2})) / $A$2)</f>
        <v>0</v>
      </c>
      <c r="AV4" s="448" cm="1">
        <f t="array" ref="AV4">IF($A$2=0,0, SUM(COUNTIF(AV5:AV50,{1,2})) / $A$2)</f>
        <v>0</v>
      </c>
      <c r="AW4" s="450" cm="1">
        <f t="array" ref="AW4">IF($A$2=0,0, SUM(COUNTIF(AW5:AW50,{1,2})) / $A$2)</f>
        <v>0</v>
      </c>
      <c r="AX4" s="449" cm="1">
        <f t="array" ref="AX4">IF($A$2=0,0, SUM(COUNTIF(AX5:AX50,{1,2})) / $A$2)</f>
        <v>0</v>
      </c>
      <c r="AY4" s="448" cm="1">
        <f t="array" ref="AY4">IF($A$2=0,0, SUM(COUNTIF(AY5:AY50,{1,2})) / $A$2)</f>
        <v>0</v>
      </c>
      <c r="AZ4" s="448" cm="1">
        <f t="array" ref="AZ4">IF($A$2=0,0, SUM(COUNTIF(AZ5:AZ50,{1,2})) / $A$2)</f>
        <v>0</v>
      </c>
      <c r="BA4" s="448" cm="1">
        <f t="array" ref="BA4">IF($A$2=0,0, SUM(COUNTIF(BA5:BA50,{1,2})) / $A$2)</f>
        <v>0</v>
      </c>
      <c r="BB4" s="448" cm="1">
        <f t="array" ref="BB4">IF($A$2=0,0, SUM(COUNTIF(BB5:BB50,{1,2})) / $A$2)</f>
        <v>0</v>
      </c>
      <c r="BC4" s="448" cm="1">
        <f t="array" ref="BC4">IF($A$2=0,0, SUM(COUNTIF(BC5:BC50,{1,2})) / $A$2)</f>
        <v>0</v>
      </c>
      <c r="BD4" s="448" cm="1">
        <f t="array" ref="BD4">IF($A$2=0,0, SUM(COUNTIF(BD5:BD50,{1,2})) / $A$2)</f>
        <v>0</v>
      </c>
      <c r="BE4" s="448" cm="1">
        <f t="array" ref="BE4">IF($A$2=0,0, SUM(COUNTIF(BE5:BE50,{1,2})) / $A$2)</f>
        <v>0</v>
      </c>
      <c r="BF4" s="448" cm="1">
        <f t="array" ref="BF4">IF($A$2=0,0, SUM(COUNTIF(BF5:BF50,{1,2})) / $A$2)</f>
        <v>0</v>
      </c>
      <c r="BG4" s="448" cm="1">
        <f t="array" ref="BG4">IF($A$2=0,0, SUM(COUNTIF(BG5:BG50,{1,2})) / $A$2)</f>
        <v>0</v>
      </c>
      <c r="BH4" s="448" cm="1">
        <f t="array" ref="BH4">IF($A$2=0,0, SUM(COUNTIF(BH5:BH50,{1,2})) / $A$2)</f>
        <v>0</v>
      </c>
      <c r="BI4" s="448" cm="1">
        <f t="array" ref="BI4">IF($A$2=0,0, SUM(COUNTIF(BI5:BI50,{1,2})) / $A$2)</f>
        <v>0</v>
      </c>
      <c r="BJ4" s="448" cm="1">
        <f t="array" ref="BJ4">IF($A$2=0,0, SUM(COUNTIF(BJ5:BJ50,{1,2})) / $A$2)</f>
        <v>0</v>
      </c>
      <c r="BK4" s="448" cm="1">
        <f t="array" ref="BK4">IF($A$2=0,0, SUM(COUNTIF(BK5:BK50,{1,2})) / $A$2)</f>
        <v>0</v>
      </c>
      <c r="BL4" s="448" cm="1">
        <f t="array" ref="BL4">IF($A$2=0,0, SUM(COUNTIF(BL5:BL50,{1,2})) / $A$2)</f>
        <v>0</v>
      </c>
      <c r="BM4" s="448" cm="1">
        <f t="array" ref="BM4">IF($A$2=0,0, SUM(COUNTIF(BM5:BM50,{1,2})) / $A$2)</f>
        <v>0</v>
      </c>
      <c r="BN4" s="448" cm="1">
        <f t="array" ref="BN4">IF($A$2=0,0, SUM(COUNTIF(BN5:BN50,{1,2})) / $A$2)</f>
        <v>0</v>
      </c>
      <c r="BO4" s="448" cm="1">
        <f t="array" ref="BO4">IF($A$2=0,0, SUM(COUNTIF(BO5:BO50,{1,2})) / $A$2)</f>
        <v>0</v>
      </c>
      <c r="BP4" s="448" cm="1">
        <f t="array" ref="BP4">IF($A$2=0,0, SUM(COUNTIF(BP5:BP50,{1,2})) / $A$2)</f>
        <v>0</v>
      </c>
      <c r="BQ4" s="448" cm="1">
        <f t="array" ref="BQ4">IF($A$2=0,0, SUM(COUNTIF(BQ5:BQ50,{1,2})) / $A$2)</f>
        <v>0</v>
      </c>
      <c r="BR4" s="448" cm="1">
        <f t="array" ref="BR4">IF($A$2=0,0, SUM(COUNTIF(BR5:BR50,{1,2})) / $A$2)</f>
        <v>0</v>
      </c>
      <c r="BS4" s="448" cm="1">
        <f t="array" ref="BS4">IF($A$2=0,0, SUM(COUNTIF(BS5:BS50,{1,2})) / $A$2)</f>
        <v>0</v>
      </c>
      <c r="BT4" s="448" cm="1">
        <f t="array" ref="BT4">IF($A$2=0,0, SUM(COUNTIF(BT5:BT50,{1,2})) / $A$2)</f>
        <v>0</v>
      </c>
      <c r="BU4" s="448" cm="1">
        <f t="array" ref="BU4">IF($A$2=0,0, SUM(COUNTIF(BU5:BU50,{1,2})) / $A$2)</f>
        <v>0</v>
      </c>
      <c r="BV4" s="448" cm="1">
        <f t="array" ref="BV4">IF($A$2=0,0, SUM(COUNTIF(BV5:BV50,{1,2})) / $A$2)</f>
        <v>0</v>
      </c>
      <c r="BW4" s="448" cm="1">
        <f t="array" ref="BW4">IF($A$2=0,0, SUM(COUNTIF(BW5:BW50,{1,2})) / $A$2)</f>
        <v>0</v>
      </c>
      <c r="BX4" s="448" cm="1">
        <f t="array" ref="BX4">IF($A$2=0,0, SUM(COUNTIF(BX5:BX50,{1,2})) / $A$2)</f>
        <v>0</v>
      </c>
      <c r="BY4" s="448" cm="1">
        <f t="array" ref="BY4">IF($A$2=0,0, SUM(COUNTIF(BY5:BY50,{1,2})) / $A$2)</f>
        <v>0</v>
      </c>
      <c r="BZ4" s="448" cm="1">
        <f t="array" ref="BZ4">IF($A$2=0,0, SUM(COUNTIF(BZ5:BZ50,{1,2})) / $A$2)</f>
        <v>0</v>
      </c>
      <c r="CA4" s="448" cm="1">
        <f t="array" ref="CA4">IF($A$2=0,0, SUM(COUNTIF(CA5:CA50,{1,2})) / $A$2)</f>
        <v>0</v>
      </c>
      <c r="CB4" s="450" cm="1">
        <f t="array" ref="CB4">IF($A$2=0,0, SUM(COUNTIF(CB5:CB50,{1,2})) / $A$2)</f>
        <v>0</v>
      </c>
      <c r="CC4" s="449" cm="1">
        <f t="array" ref="CC4">IF($A$2=0,0, SUM(COUNTIF(CC5:CC50,{1,2})) / $A$2)</f>
        <v>0</v>
      </c>
      <c r="CD4" s="448" cm="1">
        <f t="array" ref="CD4">IF($A$2=0,0, SUM(COUNTIF(CD5:CD50,{1,2})) / $A$2)</f>
        <v>0</v>
      </c>
      <c r="CE4" s="448" cm="1">
        <f t="array" ref="CE4">IF($A$2=0,0, SUM(COUNTIF(CE5:CE50,{1,2})) / $A$2)</f>
        <v>0</v>
      </c>
      <c r="CF4" s="448" cm="1">
        <f t="array" ref="CF4">IF($A$2=0,0, SUM(COUNTIF(CF5:CF50,{1,2})) / $A$2)</f>
        <v>0</v>
      </c>
      <c r="CG4" s="448" cm="1">
        <f t="array" ref="CG4">IF($A$2=0,0, SUM(COUNTIF(CG5:CG50,{1,2})) / $A$2)</f>
        <v>0</v>
      </c>
      <c r="CH4" s="448" cm="1">
        <f t="array" ref="CH4">IF($A$2=0,0, SUM(COUNTIF(CH5:CH50,{1,2})) / $A$2)</f>
        <v>0</v>
      </c>
      <c r="CI4" s="448" cm="1">
        <f t="array" ref="CI4">IF($A$2=0,0, SUM(COUNTIF(CI5:CI50,{1,2})) / $A$2)</f>
        <v>0</v>
      </c>
      <c r="CJ4" s="448" cm="1">
        <f t="array" ref="CJ4">IF($A$2=0,0, SUM(COUNTIF(CJ5:CJ50,{1,2})) / $A$2)</f>
        <v>0</v>
      </c>
      <c r="CK4" s="448" cm="1">
        <f t="array" ref="CK4">IF($A$2=0,0, SUM(COUNTIF(CK5:CK50,{1,2})) / $A$2)</f>
        <v>0</v>
      </c>
      <c r="CL4" s="448" cm="1">
        <f t="array" ref="CL4">IF($A$2=0,0, SUM(COUNTIF(CL5:CL50,{1,2})) / $A$2)</f>
        <v>0</v>
      </c>
      <c r="CM4" s="448" cm="1">
        <f t="array" ref="CM4">IF($A$2=0,0, SUM(COUNTIF(CM5:CM50,{1,2})) / $A$2)</f>
        <v>0</v>
      </c>
      <c r="CN4" s="448" cm="1">
        <f t="array" ref="CN4">IF($A$2=0,0, SUM(COUNTIF(CN5:CN50,{1,2})) / $A$2)</f>
        <v>0</v>
      </c>
      <c r="CO4" s="448" cm="1">
        <f t="array" ref="CO4">IF($A$2=0,0, SUM(COUNTIF(CO5:CO50,{1,2})) / $A$2)</f>
        <v>0</v>
      </c>
      <c r="CP4" s="448" cm="1">
        <f t="array" ref="CP4">IF($A$2=0,0, SUM(COUNTIF(CP5:CP50,{1,2})) / $A$2)</f>
        <v>0</v>
      </c>
      <c r="CQ4" s="448" cm="1">
        <f t="array" ref="CQ4">IF($A$2=0,0, SUM(COUNTIF(CQ5:CQ50,{1,2})) / $A$2)</f>
        <v>0</v>
      </c>
      <c r="CR4" s="448" cm="1">
        <f t="array" ref="CR4">IF($A$2=0,0, SUM(COUNTIF(CR5:CR50,{1,2})) / $A$2)</f>
        <v>0</v>
      </c>
      <c r="CS4" s="448" cm="1">
        <f t="array" ref="CS4">IF($A$2=0,0, SUM(COUNTIF(CS5:CS50,{1,2})) / $A$2)</f>
        <v>0</v>
      </c>
      <c r="CT4" s="448" cm="1">
        <f t="array" ref="CT4">IF($A$2=0,0, SUM(COUNTIF(CT5:CT50,{1,2})) / $A$2)</f>
        <v>0</v>
      </c>
      <c r="CU4" s="448" cm="1">
        <f t="array" ref="CU4">IF($A$2=0,0, SUM(COUNTIF(CU5:CU50,{1,2})) / $A$2)</f>
        <v>0</v>
      </c>
      <c r="CV4" s="448" cm="1">
        <f t="array" ref="CV4">IF($A$2=0,0, SUM(COUNTIF(CV5:CV50,{1,2})) / $A$2)</f>
        <v>0</v>
      </c>
      <c r="CW4" s="448" cm="1">
        <f t="array" ref="CW4">IF($A$2=0,0, SUM(COUNTIF(CW5:CW50,{1,2})) / $A$2)</f>
        <v>0</v>
      </c>
      <c r="CX4" s="448" cm="1">
        <f t="array" ref="CX4">IF($A$2=0,0, SUM(COUNTIF(CX5:CX50,{1,2})) / $A$2)</f>
        <v>0</v>
      </c>
      <c r="CY4" s="448" cm="1">
        <f t="array" ref="CY4">IF($A$2=0,0, SUM(COUNTIF(CY5:CY50,{1,2})) / $A$2)</f>
        <v>0</v>
      </c>
      <c r="CZ4" s="448" cm="1">
        <f t="array" ref="CZ4">IF($A$2=0,0, SUM(COUNTIF(CZ5:CZ50,{1,2})) / $A$2)</f>
        <v>0</v>
      </c>
      <c r="DA4" s="448" cm="1">
        <f t="array" ref="DA4">IF($A$2=0,0, SUM(COUNTIF(DA5:DA50,{1,2})) / $A$2)</f>
        <v>0</v>
      </c>
      <c r="DB4" s="448" cm="1">
        <f t="array" ref="DB4">IF($A$2=0,0, SUM(COUNTIF(DB5:DB50,{1,2})) / $A$2)</f>
        <v>0</v>
      </c>
      <c r="DC4" s="448" cm="1">
        <f t="array" ref="DC4">IF($A$2=0,0, SUM(COUNTIF(DC5:DC50,{1,2})) / $A$2)</f>
        <v>0</v>
      </c>
      <c r="DD4" s="448" cm="1">
        <f t="array" ref="DD4">IF($A$2=0,0, SUM(COUNTIF(DD5:DD50,{1,2})) / $A$2)</f>
        <v>0</v>
      </c>
      <c r="DE4" s="448" cm="1">
        <f t="array" ref="DE4">IF($A$2=0,0, SUM(COUNTIF(DE5:DE50,{1,2})) / $A$2)</f>
        <v>0</v>
      </c>
      <c r="DF4" s="450" cm="1">
        <f t="array" ref="DF4">IF($A$2=0,0, SUM(COUNTIF(DF5:DF50,{1,2})) / $A$2)</f>
        <v>0</v>
      </c>
      <c r="DG4" s="449" cm="1">
        <f t="array" ref="DG4">IF($A$2=0,0, SUM(COUNTIF(DG5:DG50,{1,2})) / $A$2)</f>
        <v>0</v>
      </c>
      <c r="DH4" s="448" cm="1">
        <f t="array" ref="DH4">IF($A$2=0,0, SUM(COUNTIF(DH5:DH50,{1,2})) / $A$2)</f>
        <v>0</v>
      </c>
      <c r="DI4" s="448" cm="1">
        <f t="array" ref="DI4">IF($A$2=0,0, SUM(COUNTIF(DI5:DI50,{1,2})) / $A$2)</f>
        <v>0</v>
      </c>
      <c r="DJ4" s="448" cm="1">
        <f t="array" ref="DJ4">IF($A$2=0,0, SUM(COUNTIF(DJ5:DJ50,{1,2})) / $A$2)</f>
        <v>0</v>
      </c>
      <c r="DK4" s="448" cm="1">
        <f t="array" ref="DK4">IF($A$2=0,0, SUM(COUNTIF(DK5:DK50,{1,2})) / $A$2)</f>
        <v>0</v>
      </c>
      <c r="DL4" s="448" cm="1">
        <f t="array" ref="DL4">IF($A$2=0,0, SUM(COUNTIF(DL5:DL50,{1,2})) / $A$2)</f>
        <v>0</v>
      </c>
      <c r="DM4" s="448" cm="1">
        <f t="array" ref="DM4">IF($A$2=0,0, SUM(COUNTIF(DM5:DM50,{1,2})) / $A$2)</f>
        <v>0</v>
      </c>
      <c r="DN4" s="448" cm="1">
        <f t="array" ref="DN4">IF($A$2=0,0, SUM(COUNTIF(DN5:DN50,{1,2})) / $A$2)</f>
        <v>0</v>
      </c>
      <c r="DO4" s="448" cm="1">
        <f t="array" ref="DO4">IF($A$2=0,0, SUM(COUNTIF(DO5:DO50,{1,2})) / $A$2)</f>
        <v>0</v>
      </c>
      <c r="DP4" s="448" cm="1">
        <f t="array" ref="DP4">IF($A$2=0,0, SUM(COUNTIF(DP5:DP50,{1,2})) / $A$2)</f>
        <v>0</v>
      </c>
      <c r="DQ4" s="448" cm="1">
        <f t="array" ref="DQ4">IF($A$2=0,0, SUM(COUNTIF(DQ5:DQ50,{1,2})) / $A$2)</f>
        <v>0</v>
      </c>
      <c r="DR4" s="448" cm="1">
        <f t="array" ref="DR4">IF($A$2=0,0, SUM(COUNTIF(DR5:DR50,{1,2})) / $A$2)</f>
        <v>0</v>
      </c>
      <c r="DS4" s="448" cm="1">
        <f t="array" ref="DS4">IF($A$2=0,0, SUM(COUNTIF(DS5:DS50,{1,2})) / $A$2)</f>
        <v>0</v>
      </c>
      <c r="DT4" s="448" cm="1">
        <f t="array" ref="DT4">IF($A$2=0,0, SUM(COUNTIF(DT5:DT50,{1,2})) / $A$2)</f>
        <v>0</v>
      </c>
      <c r="DU4" s="448" cm="1">
        <f t="array" ref="DU4">IF($A$2=0,0, SUM(COUNTIF(DU5:DU50,{1,2})) / $A$2)</f>
        <v>0</v>
      </c>
      <c r="DV4" s="448" cm="1">
        <f t="array" ref="DV4">IF($A$2=0,0, SUM(COUNTIF(DV5:DV50,{1,2})) / $A$2)</f>
        <v>0</v>
      </c>
      <c r="DW4" s="448" cm="1">
        <f t="array" ref="DW4">IF($A$2=0,0, SUM(COUNTIF(DW5:DW50,{1,2})) / $A$2)</f>
        <v>0</v>
      </c>
      <c r="DX4" s="448" cm="1">
        <f t="array" ref="DX4">IF($A$2=0,0, SUM(COUNTIF(DX5:DX50,{1,2})) / $A$2)</f>
        <v>0</v>
      </c>
      <c r="DY4" s="448" cm="1">
        <f t="array" ref="DY4">IF($A$2=0,0, SUM(COUNTIF(DY5:DY50,{1,2})) / $A$2)</f>
        <v>0</v>
      </c>
      <c r="DZ4" s="448" cm="1">
        <f t="array" ref="DZ4">IF($A$2=0,0, SUM(COUNTIF(DZ5:DZ50,{1,2})) / $A$2)</f>
        <v>0</v>
      </c>
      <c r="EA4" s="448" cm="1">
        <f t="array" ref="EA4">IF($A$2=0,0, SUM(COUNTIF(EA5:EA50,{1,2})) / $A$2)</f>
        <v>0</v>
      </c>
      <c r="EB4" s="448" cm="1">
        <f t="array" ref="EB4">IF($A$2=0,0, SUM(COUNTIF(EB5:EB50,{1,2})) / $A$2)</f>
        <v>0</v>
      </c>
      <c r="EC4" s="448" cm="1">
        <f t="array" ref="EC4">IF($A$2=0,0, SUM(COUNTIF(EC5:EC50,{1,2})) / $A$2)</f>
        <v>0</v>
      </c>
      <c r="ED4" s="448" cm="1">
        <f t="array" ref="ED4">IF($A$2=0,0, SUM(COUNTIF(ED5:ED50,{1,2})) / $A$2)</f>
        <v>0</v>
      </c>
      <c r="EE4" s="448" cm="1">
        <f t="array" ref="EE4">IF($A$2=0,0, SUM(COUNTIF(EE5:EE50,{1,2})) / $A$2)</f>
        <v>0</v>
      </c>
      <c r="EF4" s="448" cm="1">
        <f t="array" ref="EF4">IF($A$2=0,0, SUM(COUNTIF(EF5:EF50,{1,2})) / $A$2)</f>
        <v>0</v>
      </c>
      <c r="EG4" s="448" cm="1">
        <f t="array" ref="EG4">IF($A$2=0,0, SUM(COUNTIF(EG5:EG50,{1,2})) / $A$2)</f>
        <v>0</v>
      </c>
      <c r="EH4" s="448" cm="1">
        <f t="array" ref="EH4">IF($A$2=0,0, SUM(COUNTIF(EH5:EH50,{1,2})) / $A$2)</f>
        <v>0</v>
      </c>
      <c r="EI4" s="448" cm="1">
        <f t="array" ref="EI4">IF($A$2=0,0, SUM(COUNTIF(EI5:EI50,{1,2})) / $A$2)</f>
        <v>0</v>
      </c>
      <c r="EJ4" s="448" cm="1">
        <f t="array" ref="EJ4">IF($A$2=0,0, SUM(COUNTIF(EJ5:EJ50,{1,2})) / $A$2)</f>
        <v>0</v>
      </c>
      <c r="EK4" s="450" cm="1">
        <f t="array" ref="EK4">IF($A$2=0,0, SUM(COUNTIF(EK5:EK50,{1,2})) / $A$2)</f>
        <v>0</v>
      </c>
      <c r="EL4" s="449" cm="1">
        <f t="array" ref="EL4">IF($A$2=0,0, SUM(COUNTIF(EL5:EL50,{1,2})) / $A$2)</f>
        <v>0</v>
      </c>
      <c r="EM4" s="448" cm="1">
        <f t="array" ref="EM4">IF($A$2=0,0, SUM(COUNTIF(EM5:EM50,{1,2})) / $A$2)</f>
        <v>0</v>
      </c>
      <c r="EN4" s="448" cm="1">
        <f t="array" ref="EN4">IF($A$2=0,0, SUM(COUNTIF(EN5:EN50,{1,2})) / $A$2)</f>
        <v>0</v>
      </c>
      <c r="EO4" s="448" cm="1">
        <f t="array" ref="EO4">IF($A$2=0,0, SUM(COUNTIF(EO5:EO50,{1,2})) / $A$2)</f>
        <v>0</v>
      </c>
      <c r="EP4" s="448" cm="1">
        <f t="array" ref="EP4">IF($A$2=0,0, SUM(COUNTIF(EP5:EP50,{1,2})) / $A$2)</f>
        <v>0</v>
      </c>
      <c r="EQ4" s="448" cm="1">
        <f t="array" ref="EQ4">IF($A$2=0,0, SUM(COUNTIF(EQ5:EQ50,{1,2})) / $A$2)</f>
        <v>0</v>
      </c>
      <c r="ER4" s="448" cm="1">
        <f t="array" ref="ER4">IF($A$2=0,0, SUM(COUNTIF(ER5:ER50,{1,2})) / $A$2)</f>
        <v>0</v>
      </c>
      <c r="ES4" s="448" cm="1">
        <f t="array" ref="ES4">IF($A$2=0,0, SUM(COUNTIF(ES5:ES50,{1,2})) / $A$2)</f>
        <v>0</v>
      </c>
      <c r="ET4" s="448" cm="1">
        <f t="array" ref="ET4">IF($A$2=0,0, SUM(COUNTIF(ET5:ET50,{1,2})) / $A$2)</f>
        <v>0</v>
      </c>
      <c r="EU4" s="448" cm="1">
        <f t="array" ref="EU4">IF($A$2=0,0, SUM(COUNTIF(EU5:EU50,{1,2})) / $A$2)</f>
        <v>0</v>
      </c>
      <c r="EV4" s="448" cm="1">
        <f t="array" ref="EV4">IF($A$2=0,0, SUM(COUNTIF(EV5:EV50,{1,2})) / $A$2)</f>
        <v>0</v>
      </c>
      <c r="EW4" s="448" cm="1">
        <f t="array" ref="EW4">IF($A$2=0,0, SUM(COUNTIF(EW5:EW50,{1,2})) / $A$2)</f>
        <v>0</v>
      </c>
      <c r="EX4" s="448" cm="1">
        <f t="array" ref="EX4">IF($A$2=0,0, SUM(COUNTIF(EX5:EX50,{1,2})) / $A$2)</f>
        <v>0</v>
      </c>
      <c r="EY4" s="448" cm="1">
        <f t="array" ref="EY4">IF($A$2=0,0, SUM(COUNTIF(EY5:EY50,{1,2})) / $A$2)</f>
        <v>0</v>
      </c>
      <c r="EZ4" s="448" cm="1">
        <f t="array" ref="EZ4">IF($A$2=0,0, SUM(COUNTIF(EZ5:EZ50,{1,2})) / $A$2)</f>
        <v>0</v>
      </c>
      <c r="FA4" s="448" cm="1">
        <f t="array" ref="FA4">IF($A$2=0,0, SUM(COUNTIF(FA5:FA50,{1,2})) / $A$2)</f>
        <v>0</v>
      </c>
      <c r="FB4" s="448" cm="1">
        <f t="array" ref="FB4">IF($A$2=0,0, SUM(COUNTIF(FB5:FB50,{1,2})) / $A$2)</f>
        <v>0</v>
      </c>
      <c r="FC4" s="448" cm="1">
        <f t="array" ref="FC4">IF($A$2=0,0, SUM(COUNTIF(FC5:FC50,{1,2})) / $A$2)</f>
        <v>0</v>
      </c>
      <c r="FD4" s="448" cm="1">
        <f t="array" ref="FD4">IF($A$2=0,0, SUM(COUNTIF(FD5:FD50,{1,2})) / $A$2)</f>
        <v>0</v>
      </c>
      <c r="FE4" s="448" cm="1">
        <f t="array" ref="FE4">IF($A$2=0,0, SUM(COUNTIF(FE5:FE50,{1,2})) / $A$2)</f>
        <v>0</v>
      </c>
      <c r="FF4" s="448" cm="1">
        <f t="array" ref="FF4">IF($A$2=0,0, SUM(COUNTIF(FF5:FF50,{1,2})) / $A$2)</f>
        <v>0</v>
      </c>
      <c r="FG4" s="448" cm="1">
        <f t="array" ref="FG4">IF($A$2=0,0, SUM(COUNTIF(FG5:FG50,{1,2})) / $A$2)</f>
        <v>0</v>
      </c>
      <c r="FH4" s="448" cm="1">
        <f t="array" ref="FH4">IF($A$2=0,0, SUM(COUNTIF(FH5:FH50,{1,2})) / $A$2)</f>
        <v>0</v>
      </c>
      <c r="FI4" s="448" cm="1">
        <f t="array" ref="FI4">IF($A$2=0,0, SUM(COUNTIF(FI5:FI50,{1,2})) / $A$2)</f>
        <v>0</v>
      </c>
      <c r="FJ4" s="448" cm="1">
        <f t="array" ref="FJ4">IF($A$2=0,0, SUM(COUNTIF(FJ5:FJ50,{1,2})) / $A$2)</f>
        <v>0</v>
      </c>
      <c r="FK4" s="448" cm="1">
        <f t="array" ref="FK4">IF($A$2=0,0, SUM(COUNTIF(FK5:FK50,{1,2})) / $A$2)</f>
        <v>0</v>
      </c>
      <c r="FL4" s="448" cm="1">
        <f t="array" ref="FL4">IF($A$2=0,0, SUM(COUNTIF(FL5:FL50,{1,2})) / $A$2)</f>
        <v>0</v>
      </c>
      <c r="FM4" s="448" cm="1">
        <f t="array" ref="FM4">IF($A$2=0,0, SUM(COUNTIF(FM5:FM50,{1,2})) / $A$2)</f>
        <v>0</v>
      </c>
      <c r="FN4" s="448" cm="1">
        <f t="array" ref="FN4">IF($A$2=0,0, SUM(COUNTIF(FN5:FN50,{1,2})) / $A$2)</f>
        <v>0</v>
      </c>
      <c r="FO4" s="448" cm="1">
        <f t="array" ref="FO4">IF($A$2=0,0, SUM(COUNTIF(FO5:FO50,{1,2})) / $A$2)</f>
        <v>0</v>
      </c>
      <c r="FP4" s="450" cm="1">
        <f t="array" ref="FP4">IF($A$2=0,0, SUM(COUNTIF(FP5:FP50,{1,2})) / $A$2)</f>
        <v>0</v>
      </c>
      <c r="FQ4" s="449" cm="1">
        <f t="array" ref="FQ4">IF($A$2=0,0, SUM(COUNTIF(FQ5:FQ50,{1,2})) / $A$2)</f>
        <v>0</v>
      </c>
      <c r="FR4" s="448" cm="1">
        <f t="array" ref="FR4">IF($A$2=0,0, SUM(COUNTIF(FR5:FR50,{1,2})) / $A$2)</f>
        <v>0</v>
      </c>
      <c r="FS4" s="448" cm="1">
        <f t="array" ref="FS4">IF($A$2=0,0, SUM(COUNTIF(FS5:FS50,{1,2})) / $A$2)</f>
        <v>0</v>
      </c>
      <c r="FT4" s="448" cm="1">
        <f t="array" ref="FT4">IF($A$2=0,0, SUM(COUNTIF(FT5:FT50,{1,2})) / $A$2)</f>
        <v>0</v>
      </c>
      <c r="FU4" s="448" cm="1">
        <f t="array" ref="FU4">IF($A$2=0,0, SUM(COUNTIF(FU5:FU50,{1,2})) / $A$2)</f>
        <v>0</v>
      </c>
      <c r="FV4" s="448" cm="1">
        <f t="array" ref="FV4">IF($A$2=0,0, SUM(COUNTIF(FV5:FV50,{1,2})) / $A$2)</f>
        <v>0</v>
      </c>
      <c r="FW4" s="448" cm="1">
        <f t="array" ref="FW4">IF($A$2=0,0, SUM(COUNTIF(FW5:FW50,{1,2})) / $A$2)</f>
        <v>0</v>
      </c>
      <c r="FX4" s="448" cm="1">
        <f t="array" ref="FX4">IF($A$2=0,0, SUM(COUNTIF(FX5:FX50,{1,2})) / $A$2)</f>
        <v>0</v>
      </c>
      <c r="FY4" s="448" cm="1">
        <f t="array" ref="FY4">IF($A$2=0,0, SUM(COUNTIF(FY5:FY50,{1,2})) / $A$2)</f>
        <v>0</v>
      </c>
      <c r="FZ4" s="448" cm="1">
        <f t="array" ref="FZ4">IF($A$2=0,0, SUM(COUNTIF(FZ5:FZ50,{1,2})) / $A$2)</f>
        <v>0</v>
      </c>
      <c r="GA4" s="448" cm="1">
        <f t="array" ref="GA4">IF($A$2=0,0, SUM(COUNTIF(GA5:GA50,{1,2})) / $A$2)</f>
        <v>0</v>
      </c>
      <c r="GB4" s="448" cm="1">
        <f t="array" ref="GB4">IF($A$2=0,0, SUM(COUNTIF(GB5:GB50,{1,2})) / $A$2)</f>
        <v>0</v>
      </c>
      <c r="GC4" s="448" cm="1">
        <f t="array" ref="GC4">IF($A$2=0,0, SUM(COUNTIF(GC5:GC50,{1,2})) / $A$2)</f>
        <v>0</v>
      </c>
      <c r="GD4" s="448" cm="1">
        <f t="array" ref="GD4">IF($A$2=0,0, SUM(COUNTIF(GD5:GD50,{1,2})) / $A$2)</f>
        <v>0</v>
      </c>
      <c r="GE4" s="448" cm="1">
        <f t="array" ref="GE4">IF($A$2=0,0, SUM(COUNTIF(GE5:GE50,{1,2})) / $A$2)</f>
        <v>0</v>
      </c>
      <c r="GF4" s="448" cm="1">
        <f t="array" ref="GF4">IF($A$2=0,0, SUM(COUNTIF(GF5:GF50,{1,2})) / $A$2)</f>
        <v>0</v>
      </c>
      <c r="GG4" s="448" cm="1">
        <f t="array" ref="GG4">IF($A$2=0,0, SUM(COUNTIF(GG5:GG50,{1,2})) / $A$2)</f>
        <v>0</v>
      </c>
      <c r="GH4" s="448" cm="1">
        <f t="array" ref="GH4">IF($A$2=0,0, SUM(COUNTIF(GH5:GH50,{1,2})) / $A$2)</f>
        <v>0</v>
      </c>
      <c r="GI4" s="448" cm="1">
        <f t="array" ref="GI4">IF($A$2=0,0, SUM(COUNTIF(GI5:GI50,{1,2})) / $A$2)</f>
        <v>0</v>
      </c>
      <c r="GJ4" s="448" cm="1">
        <f t="array" ref="GJ4">IF($A$2=0,0, SUM(COUNTIF(GJ5:GJ50,{1,2})) / $A$2)</f>
        <v>0</v>
      </c>
      <c r="GK4" s="448" cm="1">
        <f t="array" ref="GK4">IF($A$2=0,0, SUM(COUNTIF(GK5:GK50,{1,2})) / $A$2)</f>
        <v>0</v>
      </c>
      <c r="GL4" s="448" cm="1">
        <f t="array" ref="GL4">IF($A$2=0,0, SUM(COUNTIF(GL5:GL50,{1,2})) / $A$2)</f>
        <v>0</v>
      </c>
      <c r="GM4" s="448" cm="1">
        <f t="array" ref="GM4">IF($A$2=0,0, SUM(COUNTIF(GM5:GM50,{1,2})) / $A$2)</f>
        <v>0</v>
      </c>
      <c r="GN4" s="448" cm="1">
        <f t="array" ref="GN4">IF($A$2=0,0, SUM(COUNTIF(GN5:GN50,{1,2})) / $A$2)</f>
        <v>0</v>
      </c>
      <c r="GO4" s="448" cm="1">
        <f t="array" ref="GO4">IF($A$2=0,0, SUM(COUNTIF(GO5:GO50,{1,2})) / $A$2)</f>
        <v>0</v>
      </c>
      <c r="GP4" s="448" cm="1">
        <f t="array" ref="GP4">IF($A$2=0,0, SUM(COUNTIF(GP5:GP50,{1,2})) / $A$2)</f>
        <v>0</v>
      </c>
      <c r="GQ4" s="448" cm="1">
        <f t="array" ref="GQ4">IF($A$2=0,0, SUM(COUNTIF(GQ5:GQ50,{1,2})) / $A$2)</f>
        <v>0</v>
      </c>
      <c r="GR4" s="450" cm="1">
        <f t="array" ref="GR4">IF($A$2=0,0, SUM(COUNTIF(GR5:GR50,{1,2})) / $A$2)</f>
        <v>0</v>
      </c>
      <c r="GS4" s="449" cm="1">
        <f t="array" ref="GS4">IF($A$2=0,0, SUM(COUNTIF(GS5:GS50,{1,2})) / $A$2)</f>
        <v>0</v>
      </c>
      <c r="GT4" s="448" cm="1">
        <f t="array" ref="GT4">IF($A$2=0,0, SUM(COUNTIF(GT5:GT50,{1,2})) / $A$2)</f>
        <v>0</v>
      </c>
      <c r="GU4" s="448" cm="1">
        <f t="array" ref="GU4">IF($A$2=0,0, SUM(COUNTIF(GU5:GU50,{1,2})) / $A$2)</f>
        <v>0</v>
      </c>
      <c r="GV4" s="448" cm="1">
        <f t="array" ref="GV4">IF($A$2=0,0, SUM(COUNTIF(GV5:GV50,{1,2})) / $A$2)</f>
        <v>0</v>
      </c>
      <c r="GW4" s="448" cm="1">
        <f t="array" ref="GW4">IF($A$2=0,0, SUM(COUNTIF(GW5:GW50,{1,2})) / $A$2)</f>
        <v>0</v>
      </c>
      <c r="GX4" s="448" cm="1">
        <f t="array" ref="GX4">IF($A$2=0,0, SUM(COUNTIF(GX5:GX50,{1,2})) / $A$2)</f>
        <v>0</v>
      </c>
      <c r="GY4" s="448" cm="1">
        <f t="array" ref="GY4">IF($A$2=0,0, SUM(COUNTIF(GY5:GY50,{1,2})) / $A$2)</f>
        <v>0</v>
      </c>
      <c r="GZ4" s="448" cm="1">
        <f t="array" ref="GZ4">IF($A$2=0,0, SUM(COUNTIF(GZ5:GZ50,{1,2})) / $A$2)</f>
        <v>0</v>
      </c>
      <c r="HA4" s="448" cm="1">
        <f t="array" ref="HA4">IF($A$2=0,0, SUM(COUNTIF(HA5:HA50,{1,2})) / $A$2)</f>
        <v>0</v>
      </c>
      <c r="HB4" s="448" cm="1">
        <f t="array" ref="HB4">IF($A$2=0,0, SUM(COUNTIF(HB5:HB50,{1,2})) / $A$2)</f>
        <v>0</v>
      </c>
      <c r="HC4" s="448" cm="1">
        <f t="array" ref="HC4">IF($A$2=0,0, SUM(COUNTIF(HC5:HC50,{1,2})) / $A$2)</f>
        <v>0</v>
      </c>
      <c r="HD4" s="448" cm="1">
        <f t="array" ref="HD4">IF($A$2=0,0, SUM(COUNTIF(HD5:HD50,{1,2})) / $A$2)</f>
        <v>0</v>
      </c>
      <c r="HE4" s="448" cm="1">
        <f t="array" ref="HE4">IF($A$2=0,0, SUM(COUNTIF(HE5:HE50,{1,2})) / $A$2)</f>
        <v>0</v>
      </c>
      <c r="HF4" s="448" cm="1">
        <f t="array" ref="HF4">IF($A$2=0,0, SUM(COUNTIF(HF5:HF50,{1,2})) / $A$2)</f>
        <v>0</v>
      </c>
      <c r="HG4" s="448" cm="1">
        <f t="array" ref="HG4">IF($A$2=0,0, SUM(COUNTIF(HG5:HG50,{1,2})) / $A$2)</f>
        <v>0</v>
      </c>
      <c r="HH4" s="448" cm="1">
        <f t="array" ref="HH4">IF($A$2=0,0, SUM(COUNTIF(HH5:HH50,{1,2})) / $A$2)</f>
        <v>0</v>
      </c>
      <c r="HI4" s="448" cm="1">
        <f t="array" ref="HI4">IF($A$2=0,0, SUM(COUNTIF(HI5:HI50,{1,2})) / $A$2)</f>
        <v>0</v>
      </c>
      <c r="HJ4" s="448" cm="1">
        <f t="array" ref="HJ4">IF($A$2=0,0, SUM(COUNTIF(HJ5:HJ50,{1,2})) / $A$2)</f>
        <v>0</v>
      </c>
      <c r="HK4" s="448" cm="1">
        <f t="array" ref="HK4">IF($A$2=0,0, SUM(COUNTIF(HK5:HK50,{1,2})) / $A$2)</f>
        <v>0</v>
      </c>
      <c r="HL4" s="448" cm="1">
        <f t="array" ref="HL4">IF($A$2=0,0, SUM(COUNTIF(HL5:HL50,{1,2})) / $A$2)</f>
        <v>0</v>
      </c>
      <c r="HM4" s="448" cm="1">
        <f t="array" ref="HM4">IF($A$2=0,0, SUM(COUNTIF(HM5:HM50,{1,2})) / $A$2)</f>
        <v>0</v>
      </c>
      <c r="HN4" s="448" cm="1">
        <f t="array" ref="HN4">IF($A$2=0,0, SUM(COUNTIF(HN5:HN50,{1,2})) / $A$2)</f>
        <v>0</v>
      </c>
      <c r="HO4" s="448" cm="1">
        <f t="array" ref="HO4">IF($A$2=0,0, SUM(COUNTIF(HO5:HO50,{1,2})) / $A$2)</f>
        <v>0</v>
      </c>
      <c r="HP4" s="448" cm="1">
        <f t="array" ref="HP4">IF($A$2=0,0, SUM(COUNTIF(HP5:HP50,{1,2})) / $A$2)</f>
        <v>0</v>
      </c>
      <c r="HQ4" s="448" cm="1">
        <f t="array" ref="HQ4">IF($A$2=0,0, SUM(COUNTIF(HQ5:HQ50,{1,2})) / $A$2)</f>
        <v>0</v>
      </c>
      <c r="HR4" s="448" cm="1">
        <f t="array" ref="HR4">IF($A$2=0,0, SUM(COUNTIF(HR5:HR50,{1,2})) / $A$2)</f>
        <v>0</v>
      </c>
      <c r="HS4" s="448" cm="1">
        <f t="array" ref="HS4">IF($A$2=0,0, SUM(COUNTIF(HS5:HS50,{1,2})) / $A$2)</f>
        <v>0</v>
      </c>
      <c r="HT4" s="448" cm="1">
        <f t="array" ref="HT4">IF($A$2=0,0, SUM(COUNTIF(HT5:HT50,{1,2})) / $A$2)</f>
        <v>0</v>
      </c>
      <c r="HU4" s="448" cm="1">
        <f t="array" ref="HU4">IF($A$2=0,0, SUM(COUNTIF(HU5:HU50,{1,2})) / $A$2)</f>
        <v>0</v>
      </c>
      <c r="HV4" s="448" cm="1">
        <f t="array" ref="HV4">IF($A$2=0,0, SUM(COUNTIF(HV5:HV50,{1,2})) / $A$2)</f>
        <v>0</v>
      </c>
      <c r="HW4" s="450" cm="1">
        <f t="array" ref="HW4">IF($A$2=0,0, SUM(COUNTIF(HW5:HW50,{1,2})) / $A$2)</f>
        <v>0</v>
      </c>
      <c r="HX4" s="449" cm="1">
        <f t="array" ref="HX4">IF($A$2=0,0, SUM(COUNTIF(HX5:HX50,{1,2})) / $A$2)</f>
        <v>0</v>
      </c>
      <c r="HY4" s="448" cm="1">
        <f t="array" ref="HY4">IF($A$2=0,0, SUM(COUNTIF(HY5:HY50,{1,2})) / $A$2)</f>
        <v>0</v>
      </c>
      <c r="HZ4" s="448" cm="1">
        <f t="array" ref="HZ4">IF($A$2=0,0, SUM(COUNTIF(HZ5:HZ50,{1,2})) / $A$2)</f>
        <v>0</v>
      </c>
      <c r="IA4" s="448" cm="1">
        <f t="array" ref="IA4">IF($A$2=0,0, SUM(COUNTIF(IA5:IA50,{1,2})) / $A$2)</f>
        <v>0</v>
      </c>
      <c r="IB4" s="448" cm="1">
        <f t="array" ref="IB4">IF($A$2=0,0, SUM(COUNTIF(IB5:IB50,{1,2})) / $A$2)</f>
        <v>0</v>
      </c>
      <c r="IC4" s="448" cm="1">
        <f t="array" ref="IC4">IF($A$2=0,0, SUM(COUNTIF(IC5:IC50,{1,2})) / $A$2)</f>
        <v>0</v>
      </c>
      <c r="ID4" s="448" cm="1">
        <f t="array" ref="ID4">IF($A$2=0,0, SUM(COUNTIF(ID5:ID50,{1,2})) / $A$2)</f>
        <v>0</v>
      </c>
      <c r="IE4" s="448" cm="1">
        <f t="array" ref="IE4">IF($A$2=0,0, SUM(COUNTIF(IE5:IE50,{1,2})) / $A$2)</f>
        <v>0</v>
      </c>
      <c r="IF4" s="448" cm="1">
        <f t="array" ref="IF4">IF($A$2=0,0, SUM(COUNTIF(IF5:IF50,{1,2})) / $A$2)</f>
        <v>0</v>
      </c>
      <c r="IG4" s="448" cm="1">
        <f t="array" ref="IG4">IF($A$2=0,0, SUM(COUNTIF(IG5:IG50,{1,2})) / $A$2)</f>
        <v>0</v>
      </c>
      <c r="IH4" s="448" cm="1">
        <f t="array" ref="IH4">IF($A$2=0,0, SUM(COUNTIF(IH5:IH50,{1,2})) / $A$2)</f>
        <v>0</v>
      </c>
      <c r="II4" s="448" cm="1">
        <f t="array" ref="II4">IF($A$2=0,0, SUM(COUNTIF(II5:II50,{1,2})) / $A$2)</f>
        <v>0</v>
      </c>
      <c r="IJ4" s="448" cm="1">
        <f t="array" ref="IJ4">IF($A$2=0,0, SUM(COUNTIF(IJ5:IJ50,{1,2})) / $A$2)</f>
        <v>0</v>
      </c>
      <c r="IK4" s="448" cm="1">
        <f t="array" ref="IK4">IF($A$2=0,0, SUM(COUNTIF(IK5:IK50,{1,2})) / $A$2)</f>
        <v>0</v>
      </c>
      <c r="IL4" s="448" cm="1">
        <f t="array" ref="IL4">IF($A$2=0,0, SUM(COUNTIF(IL5:IL50,{1,2})) / $A$2)</f>
        <v>0</v>
      </c>
      <c r="IM4" s="448" cm="1">
        <f t="array" ref="IM4">IF($A$2=0,0, SUM(COUNTIF(IM5:IM50,{1,2})) / $A$2)</f>
        <v>0</v>
      </c>
      <c r="IN4" s="448" cm="1">
        <f t="array" ref="IN4">IF($A$2=0,0, SUM(COUNTIF(IN5:IN50,{1,2})) / $A$2)</f>
        <v>0</v>
      </c>
      <c r="IO4" s="448" cm="1">
        <f t="array" ref="IO4">IF($A$2=0,0, SUM(COUNTIF(IO5:IO50,{1,2})) / $A$2)</f>
        <v>0</v>
      </c>
      <c r="IP4" s="448" cm="1">
        <f t="array" ref="IP4">IF($A$2=0,0, SUM(COUNTIF(IP5:IP50,{1,2})) / $A$2)</f>
        <v>0</v>
      </c>
      <c r="IQ4" s="448" cm="1">
        <f t="array" ref="IQ4">IF($A$2=0,0, SUM(COUNTIF(IQ5:IQ50,{1,2})) / $A$2)</f>
        <v>0</v>
      </c>
      <c r="IR4" s="448" cm="1">
        <f t="array" ref="IR4">IF($A$2=0,0, SUM(COUNTIF(IR5:IR50,{1,2})) / $A$2)</f>
        <v>0</v>
      </c>
      <c r="IS4" s="448" cm="1">
        <f t="array" ref="IS4">IF($A$2=0,0, SUM(COUNTIF(IS5:IS50,{1,2})) / $A$2)</f>
        <v>0</v>
      </c>
      <c r="IT4" s="448" cm="1">
        <f t="array" ref="IT4">IF($A$2=0,0, SUM(COUNTIF(IT5:IT50,{1,2})) / $A$2)</f>
        <v>0</v>
      </c>
      <c r="IU4" s="448" cm="1">
        <f t="array" ref="IU4">IF($A$2=0,0, SUM(COUNTIF(IU5:IU50,{1,2})) / $A$2)</f>
        <v>0</v>
      </c>
      <c r="IV4" s="448" cm="1">
        <f t="array" ref="IV4">IF($A$2=0,0, SUM(COUNTIF(IV5:IV50,{1,2})) / $A$2)</f>
        <v>0</v>
      </c>
      <c r="IW4" s="448" cm="1">
        <f t="array" ref="IW4">IF($A$2=0,0, SUM(COUNTIF(IW5:IW50,{1,2})) / $A$2)</f>
        <v>0</v>
      </c>
      <c r="IX4" s="448" cm="1">
        <f t="array" ref="IX4">IF($A$2=0,0, SUM(COUNTIF(IX5:IX50,{1,2})) / $A$2)</f>
        <v>0</v>
      </c>
      <c r="IY4" s="448" cm="1">
        <f t="array" ref="IY4">IF($A$2=0,0, SUM(COUNTIF(IY5:IY50,{1,2})) / $A$2)</f>
        <v>0</v>
      </c>
      <c r="IZ4" s="448" cm="1">
        <f t="array" ref="IZ4">IF($A$2=0,0, SUM(COUNTIF(IZ5:IZ50,{1,2})) / $A$2)</f>
        <v>0</v>
      </c>
      <c r="JA4" s="450" cm="1">
        <f t="array" ref="JA4">IF($A$2=0,0, SUM(COUNTIF(JA5:JA50,{1,2})) / $A$2)</f>
        <v>0</v>
      </c>
      <c r="JB4" s="449" cm="1">
        <f t="array" ref="JB4">IF($A$2=0,0, SUM(COUNTIF(JB5:JB50,{1,2})) / $A$2)</f>
        <v>0</v>
      </c>
      <c r="JC4" s="448" cm="1">
        <f t="array" ref="JC4">IF($A$2=0,0, SUM(COUNTIF(JC5:JC50,{1,2})) / $A$2)</f>
        <v>0</v>
      </c>
      <c r="JD4" s="448" cm="1">
        <f t="array" ref="JD4">IF($A$2=0,0, SUM(COUNTIF(JD5:JD50,{1,2})) / $A$2)</f>
        <v>0</v>
      </c>
      <c r="JE4" s="448" cm="1">
        <f t="array" ref="JE4">IF($A$2=0,0, SUM(COUNTIF(JE5:JE50,{1,2})) / $A$2)</f>
        <v>0</v>
      </c>
      <c r="JF4" s="448" cm="1">
        <f t="array" ref="JF4">IF($A$2=0,0, SUM(COUNTIF(JF5:JF50,{1,2})) / $A$2)</f>
        <v>0</v>
      </c>
      <c r="JG4" s="448" cm="1">
        <f t="array" ref="JG4">IF($A$2=0,0, SUM(COUNTIF(JG5:JG50,{1,2})) / $A$2)</f>
        <v>0</v>
      </c>
      <c r="JH4" s="448" cm="1">
        <f t="array" ref="JH4">IF($A$2=0,0, SUM(COUNTIF(JH5:JH50,{1,2})) / $A$2)</f>
        <v>0</v>
      </c>
      <c r="JI4" s="448" cm="1">
        <f t="array" ref="JI4">IF($A$2=0,0, SUM(COUNTIF(JI5:JI50,{1,2})) / $A$2)</f>
        <v>0</v>
      </c>
      <c r="JJ4" s="448" cm="1">
        <f t="array" ref="JJ4">IF($A$2=0,0, SUM(COUNTIF(JJ5:JJ50,{1,2})) / $A$2)</f>
        <v>0</v>
      </c>
      <c r="JK4" s="448" cm="1">
        <f t="array" ref="JK4">IF($A$2=0,0, SUM(COUNTIF(JK5:JK50,{1,2})) / $A$2)</f>
        <v>0</v>
      </c>
      <c r="JL4" s="448" cm="1">
        <f t="array" ref="JL4">IF($A$2=0,0, SUM(COUNTIF(JL5:JL50,{1,2})) / $A$2)</f>
        <v>0</v>
      </c>
      <c r="JM4" s="448" cm="1">
        <f t="array" ref="JM4">IF($A$2=0,0, SUM(COUNTIF(JM5:JM50,{1,2})) / $A$2)</f>
        <v>0</v>
      </c>
      <c r="JN4" s="448" cm="1">
        <f t="array" ref="JN4">IF($A$2=0,0, SUM(COUNTIF(JN5:JN50,{1,2})) / $A$2)</f>
        <v>0</v>
      </c>
      <c r="JO4" s="448" cm="1">
        <f t="array" ref="JO4">IF($A$2=0,0, SUM(COUNTIF(JO5:JO50,{1,2})) / $A$2)</f>
        <v>0</v>
      </c>
      <c r="JP4" s="448" cm="1">
        <f t="array" ref="JP4">IF($A$2=0,0, SUM(COUNTIF(JP5:JP50,{1,2})) / $A$2)</f>
        <v>0</v>
      </c>
      <c r="JQ4" s="448" cm="1">
        <f t="array" ref="JQ4">IF($A$2=0,0, SUM(COUNTIF(JQ5:JQ50,{1,2})) / $A$2)</f>
        <v>0</v>
      </c>
      <c r="JR4" s="448" cm="1">
        <f t="array" ref="JR4">IF($A$2=0,0, SUM(COUNTIF(JR5:JR50,{1,2})) / $A$2)</f>
        <v>0</v>
      </c>
      <c r="JS4" s="448" cm="1">
        <f t="array" ref="JS4">IF($A$2=0,0, SUM(COUNTIF(JS5:JS50,{1,2})) / $A$2)</f>
        <v>0</v>
      </c>
      <c r="JT4" s="448" cm="1">
        <f t="array" ref="JT4">IF($A$2=0,0, SUM(COUNTIF(JT5:JT50,{1,2})) / $A$2)</f>
        <v>0</v>
      </c>
      <c r="JU4" s="448" cm="1">
        <f t="array" ref="JU4">IF($A$2=0,0, SUM(COUNTIF(JU5:JU50,{1,2})) / $A$2)</f>
        <v>0</v>
      </c>
      <c r="JV4" s="448" cm="1">
        <f t="array" ref="JV4">IF($A$2=0,0, SUM(COUNTIF(JV5:JV50,{1,2})) / $A$2)</f>
        <v>0</v>
      </c>
      <c r="JW4" s="448" cm="1">
        <f t="array" ref="JW4">IF($A$2=0,0, SUM(COUNTIF(JW5:JW50,{1,2})) / $A$2)</f>
        <v>0</v>
      </c>
      <c r="JX4" s="448" cm="1">
        <f t="array" ref="JX4">IF($A$2=0,0, SUM(COUNTIF(JX5:JX50,{1,2})) / $A$2)</f>
        <v>0</v>
      </c>
      <c r="JY4" s="448" cm="1">
        <f t="array" ref="JY4">IF($A$2=0,0, SUM(COUNTIF(JY5:JY50,{1,2})) / $A$2)</f>
        <v>0</v>
      </c>
      <c r="JZ4" s="448" cm="1">
        <f t="array" ref="JZ4">IF($A$2=0,0, SUM(COUNTIF(JZ5:JZ50,{1,2})) / $A$2)</f>
        <v>0</v>
      </c>
      <c r="KA4" s="448" cm="1">
        <f t="array" ref="KA4">IF($A$2=0,0, SUM(COUNTIF(KA5:KA50,{1,2})) / $A$2)</f>
        <v>0</v>
      </c>
      <c r="KB4" s="448" cm="1">
        <f t="array" ref="KB4">IF($A$2=0,0, SUM(COUNTIF(KB5:KB50,{1,2})) / $A$2)</f>
        <v>0</v>
      </c>
      <c r="KC4" s="448" cm="1">
        <f t="array" ref="KC4">IF($A$2=0,0, SUM(COUNTIF(KC5:KC50,{1,2})) / $A$2)</f>
        <v>0</v>
      </c>
      <c r="KD4" s="448" cm="1">
        <f t="array" ref="KD4">IF($A$2=0,0, SUM(COUNTIF(KD5:KD50,{1,2})) / $A$2)</f>
        <v>0</v>
      </c>
      <c r="KE4" s="448" cm="1">
        <f t="array" ref="KE4">IF($A$2=0,0, SUM(COUNTIF(KE5:KE50,{1,2})) / $A$2)</f>
        <v>0</v>
      </c>
      <c r="KF4" s="450" cm="1">
        <f t="array" ref="KF4">IF($A$2=0,0, SUM(COUNTIF(KF5:KF50,{1,2})) / $A$2)</f>
        <v>0</v>
      </c>
      <c r="KG4" s="449" cm="1">
        <f t="array" ref="KG4">IF($A$2=0,0, SUM(COUNTIF(KG5:KG50,{1,2})) / $A$2)</f>
        <v>0</v>
      </c>
      <c r="KH4" s="448" cm="1">
        <f t="array" ref="KH4">IF($A$2=0,0, SUM(COUNTIF(KH5:KH50,{1,2})) / $A$2)</f>
        <v>0</v>
      </c>
      <c r="KI4" s="448" cm="1">
        <f t="array" ref="KI4">IF($A$2=0,0, SUM(COUNTIF(KI5:KI50,{1,2})) / $A$2)</f>
        <v>0</v>
      </c>
      <c r="KJ4" s="448" cm="1">
        <f t="array" ref="KJ4">IF($A$2=0,0, SUM(COUNTIF(KJ5:KJ50,{1,2})) / $A$2)</f>
        <v>0</v>
      </c>
      <c r="KK4" s="448" cm="1">
        <f t="array" ref="KK4">IF($A$2=0,0, SUM(COUNTIF(KK5:KK50,{1,2})) / $A$2)</f>
        <v>0</v>
      </c>
      <c r="KL4" s="448" cm="1">
        <f t="array" ref="KL4">IF($A$2=0,0, SUM(COUNTIF(KL5:KL50,{1,2})) / $A$2)</f>
        <v>0</v>
      </c>
      <c r="KM4" s="448" cm="1">
        <f t="array" ref="KM4">IF($A$2=0,0, SUM(COUNTIF(KM5:KM50,{1,2})) / $A$2)</f>
        <v>0</v>
      </c>
      <c r="KN4" s="448" cm="1">
        <f t="array" ref="KN4">IF($A$2=0,0, SUM(COUNTIF(KN5:KN50,{1,2})) / $A$2)</f>
        <v>0</v>
      </c>
      <c r="KO4" s="448" cm="1">
        <f t="array" ref="KO4">IF($A$2=0,0, SUM(COUNTIF(KO5:KO50,{1,2})) / $A$2)</f>
        <v>0</v>
      </c>
      <c r="KP4" s="448" cm="1">
        <f t="array" ref="KP4">IF($A$2=0,0, SUM(COUNTIF(KP5:KP50,{1,2})) / $A$2)</f>
        <v>0</v>
      </c>
      <c r="KQ4" s="448" cm="1">
        <f t="array" ref="KQ4">IF($A$2=0,0, SUM(COUNTIF(KQ5:KQ50,{1,2})) / $A$2)</f>
        <v>0</v>
      </c>
      <c r="KR4" s="448" cm="1">
        <f t="array" ref="KR4">IF($A$2=0,0, SUM(COUNTIF(KR5:KR50,{1,2})) / $A$2)</f>
        <v>0</v>
      </c>
      <c r="KS4" s="448" cm="1">
        <f t="array" ref="KS4">IF($A$2=0,0, SUM(COUNTIF(KS5:KS50,{1,2})) / $A$2)</f>
        <v>0</v>
      </c>
      <c r="KT4" s="448" cm="1">
        <f t="array" ref="KT4">IF($A$2=0,0, SUM(COUNTIF(KT5:KT50,{1,2})) / $A$2)</f>
        <v>0</v>
      </c>
      <c r="KU4" s="448" cm="1">
        <f t="array" ref="KU4">IF($A$2=0,0, SUM(COUNTIF(KU5:KU50,{1,2})) / $A$2)</f>
        <v>0</v>
      </c>
      <c r="KV4" s="448" cm="1">
        <f t="array" ref="KV4">IF($A$2=0,0, SUM(COUNTIF(KV5:KV50,{1,2})) / $A$2)</f>
        <v>0</v>
      </c>
      <c r="KW4" s="448" cm="1">
        <f t="array" ref="KW4">IF($A$2=0,0, SUM(COUNTIF(KW5:KW50,{1,2})) / $A$2)</f>
        <v>0</v>
      </c>
      <c r="KX4" s="448" cm="1">
        <f t="array" ref="KX4">IF($A$2=0,0, SUM(COUNTIF(KX5:KX50,{1,2})) / $A$2)</f>
        <v>0</v>
      </c>
      <c r="KY4" s="448" cm="1">
        <f t="array" ref="KY4">IF($A$2=0,0, SUM(COUNTIF(KY5:KY50,{1,2})) / $A$2)</f>
        <v>0</v>
      </c>
      <c r="KZ4" s="448" cm="1">
        <f t="array" ref="KZ4">IF($A$2=0,0, SUM(COUNTIF(KZ5:KZ50,{1,2})) / $A$2)</f>
        <v>0</v>
      </c>
      <c r="LA4" s="448" cm="1">
        <f t="array" ref="LA4">IF($A$2=0,0, SUM(COUNTIF(LA5:LA50,{1,2})) / $A$2)</f>
        <v>0</v>
      </c>
      <c r="LB4" s="448" cm="1">
        <f t="array" ref="LB4">IF($A$2=0,0, SUM(COUNTIF(LB5:LB50,{1,2})) / $A$2)</f>
        <v>0</v>
      </c>
      <c r="LC4" s="448" cm="1">
        <f t="array" ref="LC4">IF($A$2=0,0, SUM(COUNTIF(LC5:LC50,{1,2})) / $A$2)</f>
        <v>0</v>
      </c>
      <c r="LD4" s="448" cm="1">
        <f t="array" ref="LD4">IF($A$2=0,0, SUM(COUNTIF(LD5:LD50,{1,2})) / $A$2)</f>
        <v>0</v>
      </c>
      <c r="LE4" s="448" cm="1">
        <f t="array" ref="LE4">IF($A$2=0,0, SUM(COUNTIF(LE5:LE50,{1,2})) / $A$2)</f>
        <v>0</v>
      </c>
      <c r="LF4" s="448" cm="1">
        <f t="array" ref="LF4">IF($A$2=0,0, SUM(COUNTIF(LF5:LF50,{1,2})) / $A$2)</f>
        <v>0</v>
      </c>
      <c r="LG4" s="448" cm="1">
        <f t="array" ref="LG4">IF($A$2=0,0, SUM(COUNTIF(LG5:LG50,{1,2})) / $A$2)</f>
        <v>0</v>
      </c>
      <c r="LH4" s="448" cm="1">
        <f t="array" ref="LH4">IF($A$2=0,0, SUM(COUNTIF(LH5:LH50,{1,2})) / $A$2)</f>
        <v>0</v>
      </c>
      <c r="LI4" s="448" cm="1">
        <f t="array" ref="LI4">IF($A$2=0,0, SUM(COUNTIF(LI5:LI50,{1,2})) / $A$2)</f>
        <v>0</v>
      </c>
      <c r="LJ4" s="450" cm="1">
        <f t="array" ref="LJ4">IF($A$2=0,0, SUM(COUNTIF(LJ5:LJ50,{1,2})) / $A$2)</f>
        <v>0</v>
      </c>
      <c r="LK4" s="225"/>
    </row>
    <row r="5" spans="1:1486" x14ac:dyDescent="0.2">
      <c r="A5" s="495" t="s">
        <v>118</v>
      </c>
      <c r="B5" s="495"/>
      <c r="C5" s="495"/>
      <c r="D5" s="495"/>
      <c r="E5" s="495"/>
      <c r="F5" s="496"/>
      <c r="G5" s="76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75"/>
      <c r="T5" s="246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47"/>
      <c r="AX5" s="76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75"/>
      <c r="CC5" s="246"/>
      <c r="CD5" s="20"/>
      <c r="CE5" s="20"/>
      <c r="CF5" s="20"/>
      <c r="CG5" s="20"/>
      <c r="CH5" s="20"/>
    </row>
    <row r="6" spans="1:1486" x14ac:dyDescent="0.2">
      <c r="A6" s="485" t="s">
        <v>119</v>
      </c>
      <c r="B6" s="485"/>
      <c r="C6" s="485"/>
      <c r="D6" s="485"/>
      <c r="E6" s="485"/>
      <c r="F6" s="486"/>
      <c r="G6" s="1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2"/>
      <c r="T6" s="225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248"/>
      <c r="AX6" s="17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2"/>
      <c r="CC6" s="225"/>
      <c r="CD6" s="3"/>
      <c r="CE6" s="3"/>
      <c r="CF6" s="3"/>
      <c r="CG6" s="3"/>
      <c r="CH6" s="3"/>
    </row>
    <row r="7" spans="1:1486" x14ac:dyDescent="0.2">
      <c r="A7" s="485" t="s">
        <v>120</v>
      </c>
      <c r="B7" s="485"/>
      <c r="C7" s="485"/>
      <c r="D7" s="485"/>
      <c r="E7" s="485"/>
      <c r="F7" s="486"/>
      <c r="G7" s="1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2"/>
      <c r="T7" s="225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248"/>
      <c r="AX7" s="17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2"/>
      <c r="CC7" s="225"/>
      <c r="CD7" s="3"/>
      <c r="CE7" s="3"/>
      <c r="CF7" s="3"/>
      <c r="CG7" s="3"/>
      <c r="CH7" s="3"/>
    </row>
    <row r="8" spans="1:1486" x14ac:dyDescent="0.2">
      <c r="A8" s="485" t="s">
        <v>121</v>
      </c>
      <c r="B8" s="485"/>
      <c r="C8" s="485"/>
      <c r="D8" s="485"/>
      <c r="E8" s="485"/>
      <c r="F8" s="486"/>
      <c r="G8" s="1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2"/>
      <c r="T8" s="225"/>
      <c r="U8" s="3"/>
      <c r="V8" s="3"/>
      <c r="W8" s="3"/>
      <c r="X8" s="3"/>
      <c r="Y8" s="3"/>
      <c r="Z8" s="410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248"/>
      <c r="AX8" s="17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2"/>
      <c r="CC8" s="225"/>
      <c r="CD8" s="3"/>
      <c r="CE8" s="3"/>
      <c r="CF8" s="3"/>
      <c r="CG8" s="3"/>
      <c r="CH8" s="3"/>
    </row>
    <row r="9" spans="1:1486" x14ac:dyDescent="0.2">
      <c r="A9" s="485" t="s">
        <v>123</v>
      </c>
      <c r="B9" s="485"/>
      <c r="C9" s="485"/>
      <c r="D9" s="485"/>
      <c r="E9" s="485"/>
      <c r="F9" s="486"/>
      <c r="G9" s="1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2"/>
      <c r="T9" s="225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248"/>
      <c r="AX9" s="17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2"/>
      <c r="CC9" s="225"/>
      <c r="CD9" s="3"/>
      <c r="CE9" s="3"/>
      <c r="CF9" s="3"/>
      <c r="CG9" s="3"/>
      <c r="CH9" s="3"/>
    </row>
    <row r="10" spans="1:1486" x14ac:dyDescent="0.2">
      <c r="A10" s="485" t="s">
        <v>162</v>
      </c>
      <c r="B10" s="485"/>
      <c r="C10" s="485"/>
      <c r="D10" s="485"/>
      <c r="E10" s="485"/>
      <c r="F10" s="486"/>
      <c r="G10" s="1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2"/>
      <c r="T10" s="225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248"/>
      <c r="AX10" s="17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2"/>
      <c r="CC10" s="225"/>
      <c r="CD10" s="3"/>
      <c r="CE10" s="3"/>
      <c r="CF10" s="3"/>
      <c r="CG10" s="3"/>
      <c r="CH10" s="3"/>
    </row>
    <row r="11" spans="1:1486" x14ac:dyDescent="0.2">
      <c r="A11" s="485" t="s">
        <v>128</v>
      </c>
      <c r="B11" s="485"/>
      <c r="C11" s="485"/>
      <c r="D11" s="485"/>
      <c r="E11" s="485"/>
      <c r="F11" s="486"/>
      <c r="G11" s="1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2"/>
      <c r="T11" s="225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248"/>
      <c r="AX11" s="17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2"/>
      <c r="CC11" s="225"/>
      <c r="CD11" s="3"/>
      <c r="CE11" s="3"/>
      <c r="CF11" s="3"/>
      <c r="CG11" s="3"/>
      <c r="CH11" s="3"/>
    </row>
    <row r="12" spans="1:1486" x14ac:dyDescent="0.2">
      <c r="A12" s="485" t="s">
        <v>124</v>
      </c>
      <c r="B12" s="485"/>
      <c r="C12" s="485"/>
      <c r="D12" s="485"/>
      <c r="E12" s="485"/>
      <c r="F12" s="486"/>
      <c r="G12" s="1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2"/>
      <c r="T12" s="225"/>
      <c r="U12" s="3"/>
      <c r="V12" s="3"/>
      <c r="W12" s="3"/>
      <c r="X12" s="3"/>
      <c r="Y12" s="3"/>
      <c r="Z12" s="3"/>
      <c r="AA12" s="3"/>
      <c r="AB12" s="410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248"/>
      <c r="AX12" s="17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2"/>
      <c r="CC12" s="225"/>
      <c r="CD12" s="3"/>
      <c r="CE12" s="3"/>
      <c r="CF12" s="3"/>
      <c r="CG12" s="3"/>
      <c r="CH12" s="3"/>
    </row>
    <row r="13" spans="1:1486" x14ac:dyDescent="0.2">
      <c r="A13" s="485" t="s">
        <v>70</v>
      </c>
      <c r="B13" s="485"/>
      <c r="C13" s="485"/>
      <c r="D13" s="485"/>
      <c r="E13" s="485"/>
      <c r="F13" s="486"/>
      <c r="G13" s="1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2"/>
      <c r="T13" s="225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410"/>
      <c r="AN13" s="3"/>
      <c r="AO13" s="3"/>
      <c r="AP13" s="3"/>
      <c r="AQ13" s="3"/>
      <c r="AR13" s="3"/>
      <c r="AS13" s="3"/>
      <c r="AT13" s="3"/>
      <c r="AU13" s="3"/>
      <c r="AV13" s="3"/>
      <c r="AW13" s="248"/>
      <c r="AX13" s="17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2"/>
      <c r="CC13" s="225"/>
      <c r="CD13" s="3"/>
      <c r="CE13" s="3"/>
      <c r="CF13" s="3"/>
      <c r="CG13" s="3"/>
      <c r="CH13" s="3"/>
    </row>
    <row r="14" spans="1:1486" x14ac:dyDescent="0.2">
      <c r="A14" s="485" t="s">
        <v>84</v>
      </c>
      <c r="B14" s="485"/>
      <c r="C14" s="485"/>
      <c r="D14" s="485"/>
      <c r="E14" s="485"/>
      <c r="F14" s="486"/>
      <c r="G14" s="1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2"/>
      <c r="T14" s="225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248"/>
      <c r="AX14" s="17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2"/>
      <c r="CC14" s="225"/>
      <c r="CD14" s="3"/>
      <c r="CE14" s="3"/>
      <c r="CF14" s="3"/>
      <c r="CG14" s="3"/>
      <c r="CH14" s="3"/>
    </row>
    <row r="15" spans="1:1486" x14ac:dyDescent="0.2">
      <c r="A15" s="485" t="s">
        <v>64</v>
      </c>
      <c r="B15" s="485"/>
      <c r="C15" s="485"/>
      <c r="D15" s="485"/>
      <c r="E15" s="485"/>
      <c r="F15" s="486"/>
      <c r="G15" s="1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2"/>
      <c r="T15" s="225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248"/>
      <c r="AX15" s="17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2"/>
      <c r="CC15" s="225"/>
      <c r="CD15" s="3"/>
      <c r="CE15" s="3"/>
      <c r="CF15" s="3"/>
      <c r="CG15" s="3"/>
      <c r="CH15" s="3"/>
    </row>
    <row r="16" spans="1:1486" x14ac:dyDescent="0.2">
      <c r="A16" s="485" t="s">
        <v>104</v>
      </c>
      <c r="B16" s="485"/>
      <c r="C16" s="485"/>
      <c r="D16" s="485"/>
      <c r="E16" s="485"/>
      <c r="F16" s="486"/>
      <c r="G16" s="1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2"/>
      <c r="T16" s="225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248"/>
      <c r="AX16" s="17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2"/>
      <c r="CC16" s="225"/>
      <c r="CD16" s="3"/>
      <c r="CE16" s="3"/>
      <c r="CF16" s="3"/>
      <c r="CG16" s="3"/>
      <c r="CH16" s="3"/>
    </row>
    <row r="17" spans="1:86" x14ac:dyDescent="0.2">
      <c r="A17" s="485" t="s">
        <v>139</v>
      </c>
      <c r="B17" s="485"/>
      <c r="C17" s="485"/>
      <c r="D17" s="485"/>
      <c r="E17" s="485"/>
      <c r="F17" s="486"/>
      <c r="G17" s="1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2"/>
      <c r="T17" s="225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410"/>
      <c r="AP17" s="3"/>
      <c r="AQ17" s="3"/>
      <c r="AR17" s="3"/>
      <c r="AS17" s="3"/>
      <c r="AT17" s="3"/>
      <c r="AU17" s="3"/>
      <c r="AV17" s="3"/>
      <c r="AW17" s="248"/>
      <c r="AX17" s="17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2"/>
      <c r="CC17" s="225"/>
      <c r="CD17" s="3"/>
      <c r="CE17" s="3"/>
      <c r="CF17" s="3"/>
      <c r="CG17" s="3"/>
      <c r="CH17" s="3"/>
    </row>
    <row r="18" spans="1:86" x14ac:dyDescent="0.2">
      <c r="A18" s="485" t="s">
        <v>94</v>
      </c>
      <c r="B18" s="485"/>
      <c r="C18" s="485"/>
      <c r="D18" s="485"/>
      <c r="E18" s="485"/>
      <c r="F18" s="486"/>
      <c r="G18" s="1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2"/>
      <c r="T18" s="225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248"/>
      <c r="AX18" s="17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2"/>
      <c r="CC18" s="225"/>
      <c r="CD18" s="3"/>
      <c r="CE18" s="3"/>
      <c r="CF18" s="3"/>
      <c r="CG18" s="3"/>
      <c r="CH18" s="3"/>
    </row>
    <row r="19" spans="1:86" x14ac:dyDescent="0.2">
      <c r="A19" s="485" t="s">
        <v>73</v>
      </c>
      <c r="B19" s="485"/>
      <c r="C19" s="485"/>
      <c r="D19" s="485"/>
      <c r="E19" s="485"/>
      <c r="F19" s="486"/>
      <c r="G19" s="1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2"/>
      <c r="T19" s="225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248"/>
      <c r="AX19" s="17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2"/>
      <c r="CC19" s="225"/>
      <c r="CD19" s="3"/>
      <c r="CE19" s="3"/>
      <c r="CF19" s="3"/>
      <c r="CG19" s="3"/>
      <c r="CH19" s="3"/>
    </row>
    <row r="20" spans="1:86" x14ac:dyDescent="0.2">
      <c r="A20" s="485" t="s">
        <v>75</v>
      </c>
      <c r="B20" s="485"/>
      <c r="C20" s="485"/>
      <c r="D20" s="485"/>
      <c r="E20" s="485"/>
      <c r="F20" s="486"/>
      <c r="G20" s="1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2"/>
      <c r="T20" s="225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248"/>
      <c r="AX20" s="17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2"/>
      <c r="CC20" s="225"/>
      <c r="CD20" s="3"/>
      <c r="CE20" s="3"/>
      <c r="CF20" s="3"/>
      <c r="CG20" s="3"/>
      <c r="CH20" s="3"/>
    </row>
    <row r="21" spans="1:86" x14ac:dyDescent="0.2">
      <c r="A21" s="485" t="s">
        <v>96</v>
      </c>
      <c r="B21" s="485"/>
      <c r="C21" s="485"/>
      <c r="D21" s="485"/>
      <c r="E21" s="485"/>
      <c r="F21" s="486"/>
      <c r="G21" s="1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2"/>
      <c r="T21" s="225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248"/>
      <c r="AX21" s="17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2"/>
      <c r="CC21" s="225"/>
      <c r="CD21" s="3"/>
      <c r="CE21" s="3"/>
      <c r="CF21" s="3"/>
      <c r="CG21" s="3"/>
      <c r="CH21" s="3"/>
    </row>
    <row r="22" spans="1:86" x14ac:dyDescent="0.2">
      <c r="A22" s="485" t="s">
        <v>129</v>
      </c>
      <c r="B22" s="485"/>
      <c r="C22" s="485"/>
      <c r="D22" s="485"/>
      <c r="E22" s="485"/>
      <c r="F22" s="486"/>
      <c r="G22" s="1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2"/>
      <c r="T22" s="225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248"/>
      <c r="AX22" s="17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2"/>
      <c r="CC22" s="225"/>
      <c r="CD22" s="3"/>
      <c r="CE22" s="3"/>
      <c r="CF22" s="3"/>
      <c r="CG22" s="3"/>
      <c r="CH22" s="3"/>
    </row>
    <row r="23" spans="1:86" x14ac:dyDescent="0.2">
      <c r="A23" s="485" t="s">
        <v>77</v>
      </c>
      <c r="B23" s="485"/>
      <c r="C23" s="485"/>
      <c r="D23" s="485"/>
      <c r="E23" s="485"/>
      <c r="F23" s="486"/>
      <c r="G23" s="1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2"/>
      <c r="T23" s="225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248"/>
      <c r="AX23" s="17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2"/>
      <c r="CC23" s="225"/>
      <c r="CD23" s="3"/>
      <c r="CE23" s="3"/>
      <c r="CF23" s="3"/>
      <c r="CG23" s="3"/>
      <c r="CH23" s="3"/>
    </row>
    <row r="24" spans="1:86" x14ac:dyDescent="0.2">
      <c r="A24" s="485" t="s">
        <v>79</v>
      </c>
      <c r="B24" s="485"/>
      <c r="C24" s="485"/>
      <c r="D24" s="485"/>
      <c r="E24" s="485"/>
      <c r="F24" s="486"/>
      <c r="G24" s="1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2"/>
      <c r="T24" s="225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248"/>
      <c r="AX24" s="17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2"/>
      <c r="CC24" s="225"/>
      <c r="CD24" s="3"/>
      <c r="CE24" s="3"/>
      <c r="CF24" s="3"/>
      <c r="CG24" s="3"/>
      <c r="CH24" s="3"/>
    </row>
    <row r="25" spans="1:86" x14ac:dyDescent="0.2">
      <c r="A25" s="485" t="s">
        <v>106</v>
      </c>
      <c r="B25" s="485"/>
      <c r="C25" s="485"/>
      <c r="D25" s="485"/>
      <c r="E25" s="485"/>
      <c r="F25" s="486"/>
      <c r="G25" s="17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2"/>
      <c r="T25" s="225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248"/>
      <c r="AX25" s="17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2"/>
      <c r="CC25" s="225"/>
      <c r="CD25" s="3"/>
      <c r="CE25" s="3"/>
      <c r="CF25" s="3"/>
      <c r="CG25" s="3"/>
      <c r="CH25" s="3"/>
    </row>
    <row r="26" spans="1:86" x14ac:dyDescent="0.2">
      <c r="A26" s="485" t="s">
        <v>131</v>
      </c>
      <c r="B26" s="485"/>
      <c r="C26" s="485"/>
      <c r="D26" s="485"/>
      <c r="E26" s="485"/>
      <c r="F26" s="486"/>
      <c r="G26" s="1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2"/>
      <c r="T26" s="225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248"/>
      <c r="AX26" s="17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2"/>
      <c r="CC26" s="225"/>
      <c r="CD26" s="3"/>
      <c r="CE26" s="3"/>
      <c r="CF26" s="3"/>
      <c r="CG26" s="3"/>
      <c r="CH26" s="3"/>
    </row>
    <row r="27" spans="1:86" x14ac:dyDescent="0.2">
      <c r="A27" s="485" t="s">
        <v>132</v>
      </c>
      <c r="B27" s="485"/>
      <c r="C27" s="485"/>
      <c r="D27" s="485"/>
      <c r="E27" s="485"/>
      <c r="F27" s="486"/>
      <c r="G27" s="1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2"/>
      <c r="T27" s="225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248"/>
      <c r="AX27" s="17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2"/>
      <c r="CC27" s="225"/>
      <c r="CD27" s="3"/>
      <c r="CE27" s="3"/>
      <c r="CF27" s="3"/>
      <c r="CG27" s="3"/>
      <c r="CH27" s="3"/>
    </row>
    <row r="28" spans="1:86" x14ac:dyDescent="0.2">
      <c r="A28" s="485" t="s">
        <v>82</v>
      </c>
      <c r="B28" s="485"/>
      <c r="C28" s="485"/>
      <c r="D28" s="485"/>
      <c r="E28" s="485"/>
      <c r="F28" s="486"/>
      <c r="G28" s="1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2"/>
      <c r="T28" s="225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248"/>
      <c r="AX28" s="17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2"/>
      <c r="CC28" s="225"/>
      <c r="CD28" s="3"/>
      <c r="CE28" s="3"/>
      <c r="CF28" s="3"/>
      <c r="CG28" s="3"/>
      <c r="CH28" s="3"/>
    </row>
    <row r="29" spans="1:86" x14ac:dyDescent="0.2">
      <c r="A29" s="485" t="s">
        <v>100</v>
      </c>
      <c r="B29" s="485"/>
      <c r="C29" s="485"/>
      <c r="D29" s="485"/>
      <c r="E29" s="485"/>
      <c r="F29" s="486"/>
      <c r="G29" s="1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2"/>
      <c r="T29" s="225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248"/>
      <c r="AX29" s="17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2"/>
      <c r="CC29" s="225"/>
      <c r="CD29" s="3"/>
      <c r="CE29" s="3"/>
      <c r="CF29" s="3"/>
      <c r="CG29" s="3"/>
      <c r="CH29" s="3"/>
    </row>
    <row r="30" spans="1:86" x14ac:dyDescent="0.2">
      <c r="A30" s="485" t="s">
        <v>99</v>
      </c>
      <c r="B30" s="485"/>
      <c r="C30" s="485"/>
      <c r="D30" s="485"/>
      <c r="E30" s="485"/>
      <c r="F30" s="486"/>
      <c r="G30" s="1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2"/>
      <c r="T30" s="225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248"/>
      <c r="AX30" s="17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2"/>
      <c r="CC30" s="225"/>
      <c r="CD30" s="3"/>
      <c r="CE30" s="3"/>
      <c r="CF30" s="3"/>
      <c r="CG30" s="3"/>
      <c r="CH30" s="3"/>
    </row>
    <row r="31" spans="1:86" x14ac:dyDescent="0.2">
      <c r="A31" s="485" t="s">
        <v>111</v>
      </c>
      <c r="B31" s="485"/>
      <c r="C31" s="485"/>
      <c r="D31" s="485"/>
      <c r="E31" s="485"/>
      <c r="F31" s="486"/>
      <c r="G31" s="1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2"/>
      <c r="T31" s="225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248"/>
      <c r="AX31" s="17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2"/>
      <c r="CC31" s="225"/>
      <c r="CD31" s="3"/>
      <c r="CE31" s="3"/>
      <c r="CF31" s="3"/>
      <c r="CG31" s="3"/>
      <c r="CH31" s="3"/>
    </row>
    <row r="32" spans="1:86" x14ac:dyDescent="0.2">
      <c r="A32" s="485" t="s">
        <v>97</v>
      </c>
      <c r="B32" s="485"/>
      <c r="C32" s="485"/>
      <c r="D32" s="485"/>
      <c r="E32" s="485"/>
      <c r="F32" s="486"/>
      <c r="G32" s="1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2"/>
      <c r="T32" s="225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248"/>
      <c r="AX32" s="17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2"/>
      <c r="CC32" s="225"/>
      <c r="CD32" s="3"/>
      <c r="CE32" s="3"/>
      <c r="CF32" s="3"/>
      <c r="CG32" s="3"/>
      <c r="CH32" s="3"/>
    </row>
    <row r="33" spans="1:86" x14ac:dyDescent="0.2">
      <c r="A33" s="485" t="s">
        <v>98</v>
      </c>
      <c r="B33" s="485"/>
      <c r="C33" s="485"/>
      <c r="D33" s="485"/>
      <c r="E33" s="485"/>
      <c r="F33" s="486"/>
      <c r="G33" s="1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2"/>
      <c r="T33" s="225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248"/>
      <c r="AX33" s="17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2"/>
      <c r="CC33" s="225"/>
      <c r="CD33" s="3"/>
      <c r="CE33" s="3"/>
      <c r="CF33" s="3"/>
      <c r="CG33" s="3"/>
      <c r="CH33" s="3"/>
    </row>
    <row r="34" spans="1:86" x14ac:dyDescent="0.2">
      <c r="A34" s="485" t="s">
        <v>133</v>
      </c>
      <c r="B34" s="485"/>
      <c r="C34" s="485"/>
      <c r="D34" s="485"/>
      <c r="E34" s="485"/>
      <c r="F34" s="486"/>
      <c r="G34" s="1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2"/>
      <c r="T34" s="225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248"/>
      <c r="AX34" s="17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2"/>
      <c r="CC34" s="225"/>
      <c r="CD34" s="3"/>
      <c r="CE34" s="3"/>
      <c r="CF34" s="3"/>
      <c r="CG34" s="3"/>
      <c r="CH34" s="3"/>
    </row>
    <row r="35" spans="1:86" x14ac:dyDescent="0.2">
      <c r="A35" s="485" t="s">
        <v>90</v>
      </c>
      <c r="B35" s="485"/>
      <c r="C35" s="485"/>
      <c r="D35" s="485"/>
      <c r="E35" s="485"/>
      <c r="F35" s="486"/>
      <c r="G35" s="1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2"/>
      <c r="T35" s="225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248"/>
      <c r="AX35" s="17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2"/>
      <c r="CC35" s="225"/>
      <c r="CD35" s="3"/>
      <c r="CE35" s="3"/>
      <c r="CF35" s="3"/>
      <c r="CG35" s="3"/>
      <c r="CH35" s="3"/>
    </row>
    <row r="36" spans="1:86" x14ac:dyDescent="0.2">
      <c r="A36" s="485" t="s">
        <v>92</v>
      </c>
      <c r="B36" s="485"/>
      <c r="C36" s="485"/>
      <c r="D36" s="485"/>
      <c r="E36" s="485"/>
      <c r="F36" s="486"/>
      <c r="G36" s="1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2"/>
      <c r="T36" s="225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248"/>
      <c r="AX36" s="17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2"/>
      <c r="CC36" s="225"/>
      <c r="CD36" s="3"/>
      <c r="CE36" s="3"/>
      <c r="CF36" s="3"/>
      <c r="CG36" s="3"/>
      <c r="CH36" s="3"/>
    </row>
    <row r="37" spans="1:86" x14ac:dyDescent="0.2">
      <c r="A37" s="485" t="s">
        <v>109</v>
      </c>
      <c r="B37" s="485"/>
      <c r="C37" s="485"/>
      <c r="D37" s="485"/>
      <c r="E37" s="485"/>
      <c r="F37" s="486"/>
      <c r="G37" s="1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2"/>
      <c r="T37" s="225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248"/>
      <c r="AX37" s="17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2"/>
      <c r="CC37" s="225"/>
      <c r="CD37" s="3"/>
      <c r="CE37" s="3"/>
      <c r="CF37" s="3"/>
      <c r="CG37" s="3"/>
      <c r="CH37" s="3"/>
    </row>
    <row r="38" spans="1:86" x14ac:dyDescent="0.2">
      <c r="A38" s="485" t="s">
        <v>101</v>
      </c>
      <c r="B38" s="485"/>
      <c r="C38" s="485"/>
      <c r="D38" s="485"/>
      <c r="E38" s="485"/>
      <c r="F38" s="486"/>
      <c r="G38" s="1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2"/>
      <c r="T38" s="225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248"/>
      <c r="AX38" s="17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2"/>
      <c r="CC38" s="225"/>
      <c r="CD38" s="3"/>
      <c r="CE38" s="3"/>
      <c r="CF38" s="3"/>
      <c r="CG38" s="3"/>
      <c r="CH38" s="3"/>
    </row>
    <row r="39" spans="1:86" x14ac:dyDescent="0.2">
      <c r="A39" s="485" t="s">
        <v>102</v>
      </c>
      <c r="B39" s="485"/>
      <c r="C39" s="485"/>
      <c r="D39" s="485"/>
      <c r="E39" s="485"/>
      <c r="F39" s="486"/>
      <c r="G39" s="1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2"/>
      <c r="T39" s="225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248"/>
      <c r="AX39" s="17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2"/>
      <c r="CC39" s="225"/>
      <c r="CD39" s="3"/>
      <c r="CE39" s="3"/>
      <c r="CF39" s="3"/>
      <c r="CG39" s="3"/>
      <c r="CH39" s="3"/>
    </row>
    <row r="40" spans="1:86" x14ac:dyDescent="0.2">
      <c r="A40" s="485" t="s">
        <v>113</v>
      </c>
      <c r="B40" s="485"/>
      <c r="C40" s="485"/>
      <c r="D40" s="485"/>
      <c r="E40" s="485"/>
      <c r="F40" s="486"/>
      <c r="G40" s="1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2"/>
      <c r="T40" s="225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248"/>
      <c r="AX40" s="17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2"/>
      <c r="CC40" s="225"/>
      <c r="CD40" s="3"/>
      <c r="CE40" s="3"/>
      <c r="CF40" s="3"/>
      <c r="CG40" s="3"/>
      <c r="CH40" s="3"/>
    </row>
    <row r="41" spans="1:86" x14ac:dyDescent="0.2">
      <c r="A41" s="482"/>
      <c r="B41" s="482"/>
      <c r="C41" s="482"/>
      <c r="D41" s="482"/>
      <c r="E41" s="482"/>
      <c r="F41" s="482"/>
      <c r="G41" s="1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2"/>
      <c r="T41" s="225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248"/>
      <c r="AX41" s="17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2"/>
      <c r="CC41" s="225"/>
      <c r="CD41" s="3"/>
      <c r="CE41" s="3"/>
      <c r="CF41" s="3"/>
      <c r="CG41" s="3"/>
      <c r="CH41" s="3"/>
    </row>
    <row r="42" spans="1:86" x14ac:dyDescent="0.2">
      <c r="A42" s="482"/>
      <c r="B42" s="482"/>
      <c r="C42" s="482"/>
      <c r="D42" s="482"/>
      <c r="E42" s="482"/>
      <c r="F42" s="482"/>
      <c r="G42" s="1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2"/>
      <c r="T42" s="225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248"/>
      <c r="AX42" s="17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2"/>
      <c r="CC42" s="225"/>
      <c r="CD42" s="3"/>
      <c r="CE42" s="3"/>
      <c r="CF42" s="3"/>
      <c r="CG42" s="3"/>
      <c r="CH42" s="3"/>
    </row>
    <row r="43" spans="1:86" x14ac:dyDescent="0.2">
      <c r="A43" s="482"/>
      <c r="B43" s="482"/>
      <c r="C43" s="482"/>
      <c r="D43" s="482"/>
      <c r="E43" s="482"/>
      <c r="F43" s="482"/>
      <c r="G43" s="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2"/>
      <c r="T43" s="225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248"/>
      <c r="AX43" s="17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2"/>
      <c r="CC43" s="225"/>
      <c r="CD43" s="3"/>
      <c r="CE43" s="3"/>
      <c r="CF43" s="3"/>
      <c r="CG43" s="3"/>
      <c r="CH43" s="3"/>
    </row>
    <row r="44" spans="1:86" x14ac:dyDescent="0.2">
      <c r="A44" s="9"/>
      <c r="B44" s="9"/>
      <c r="C44" s="9"/>
      <c r="D44" s="9"/>
      <c r="E44" s="9"/>
      <c r="F44" s="9"/>
      <c r="G44" s="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2"/>
      <c r="T44" s="225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248"/>
      <c r="AX44" s="17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2"/>
      <c r="CC44" s="225"/>
      <c r="CD44" s="3"/>
      <c r="CE44" s="3"/>
      <c r="CF44" s="3"/>
      <c r="CG44" s="3"/>
      <c r="CH44" s="3"/>
    </row>
    <row r="45" spans="1:86" x14ac:dyDescent="0.2">
      <c r="A45" s="9"/>
      <c r="B45" s="9"/>
      <c r="C45" s="9"/>
      <c r="D45" s="9"/>
      <c r="E45" s="9"/>
      <c r="F45" s="9"/>
      <c r="G45" s="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2"/>
      <c r="T45" s="225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248"/>
      <c r="AX45" s="17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2"/>
      <c r="CC45" s="225"/>
      <c r="CD45" s="3"/>
      <c r="CE45" s="3"/>
      <c r="CF45" s="3"/>
      <c r="CG45" s="3"/>
      <c r="CH45" s="3"/>
    </row>
    <row r="46" spans="1:86" x14ac:dyDescent="0.2">
      <c r="A46" s="9"/>
      <c r="B46" s="9"/>
      <c r="C46" s="9"/>
      <c r="D46" s="9"/>
      <c r="E46" s="9"/>
      <c r="F46" s="9"/>
      <c r="G46" s="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2"/>
      <c r="T46" s="225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248"/>
      <c r="AX46" s="17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2"/>
      <c r="CC46" s="225"/>
      <c r="CD46" s="3"/>
      <c r="CE46" s="3"/>
      <c r="CF46" s="3"/>
      <c r="CG46" s="3"/>
      <c r="CH46" s="3"/>
    </row>
    <row r="47" spans="1:86" x14ac:dyDescent="0.2">
      <c r="A47" s="9"/>
      <c r="B47" s="9"/>
      <c r="C47" s="9"/>
      <c r="D47" s="9"/>
      <c r="E47" s="9"/>
      <c r="F47" s="9"/>
      <c r="G47" s="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2"/>
      <c r="T47" s="225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248"/>
      <c r="AX47" s="17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2"/>
      <c r="CC47" s="225"/>
      <c r="CD47" s="3"/>
      <c r="CE47" s="3"/>
      <c r="CF47" s="3"/>
      <c r="CG47" s="3"/>
      <c r="CH47" s="3"/>
    </row>
    <row r="48" spans="1:86" x14ac:dyDescent="0.2">
      <c r="A48" s="9"/>
      <c r="B48" s="9"/>
      <c r="C48" s="9"/>
      <c r="D48" s="9"/>
      <c r="E48" s="9"/>
      <c r="F48" s="9"/>
      <c r="G48" s="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2"/>
      <c r="T48" s="225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248"/>
      <c r="AX48" s="17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2"/>
      <c r="CC48" s="225"/>
      <c r="CD48" s="3"/>
      <c r="CE48" s="3"/>
      <c r="CF48" s="3"/>
      <c r="CG48" s="3"/>
      <c r="CH48" s="3"/>
    </row>
    <row r="49" spans="1:86" x14ac:dyDescent="0.2">
      <c r="A49" s="9"/>
      <c r="B49" s="9"/>
      <c r="C49" s="9"/>
      <c r="D49" s="9"/>
      <c r="E49" s="9"/>
      <c r="F49" s="9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2"/>
      <c r="T49" s="225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248"/>
      <c r="AX49" s="17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2"/>
      <c r="CC49" s="225"/>
      <c r="CD49" s="3"/>
      <c r="CE49" s="3"/>
      <c r="CF49" s="3"/>
      <c r="CG49" s="3"/>
      <c r="CH49" s="3"/>
    </row>
    <row r="50" spans="1:86" x14ac:dyDescent="0.2">
      <c r="A50" s="9"/>
      <c r="B50" s="9"/>
      <c r="C50" s="9"/>
      <c r="D50" s="9"/>
      <c r="E50" s="9"/>
      <c r="F50" s="9"/>
      <c r="G50" s="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2"/>
      <c r="T50" s="225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248"/>
      <c r="AX50" s="17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2"/>
      <c r="CC50" s="225"/>
      <c r="CD50" s="3"/>
      <c r="CE50" s="3"/>
      <c r="CF50" s="3"/>
      <c r="CG50" s="3"/>
      <c r="CH50" s="3"/>
    </row>
    <row r="51" spans="1:86" x14ac:dyDescent="0.2">
      <c r="A51" s="9"/>
      <c r="B51" s="9"/>
      <c r="C51" s="9"/>
      <c r="D51" s="9"/>
      <c r="E51" s="9"/>
      <c r="F51" s="9"/>
      <c r="G51" s="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2"/>
      <c r="T51" s="225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248"/>
      <c r="AX51" s="17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2"/>
      <c r="CC51" s="225"/>
      <c r="CD51" s="3"/>
      <c r="CE51" s="3"/>
      <c r="CF51" s="3"/>
      <c r="CG51" s="3"/>
      <c r="CH51" s="3"/>
    </row>
    <row r="52" spans="1:86" x14ac:dyDescent="0.2">
      <c r="A52" s="9"/>
      <c r="B52" s="9"/>
      <c r="C52" s="9"/>
      <c r="D52" s="9"/>
      <c r="E52" s="9"/>
      <c r="F52" s="9"/>
      <c r="G52" s="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2"/>
      <c r="T52" s="225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248"/>
      <c r="AX52" s="17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2"/>
      <c r="CC52" s="225"/>
      <c r="CD52" s="3"/>
      <c r="CE52" s="3"/>
      <c r="CF52" s="3"/>
      <c r="CG52" s="3"/>
      <c r="CH52" s="3"/>
    </row>
    <row r="53" spans="1:86" x14ac:dyDescent="0.2">
      <c r="A53" s="9"/>
      <c r="B53" s="9"/>
      <c r="C53" s="9"/>
      <c r="D53" s="9"/>
      <c r="E53" s="9"/>
      <c r="F53" s="9"/>
      <c r="G53" s="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2"/>
      <c r="T53" s="225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248"/>
      <c r="AX53" s="17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2"/>
      <c r="CC53" s="225"/>
      <c r="CD53" s="3"/>
      <c r="CE53" s="3"/>
      <c r="CF53" s="3"/>
      <c r="CG53" s="3"/>
      <c r="CH53" s="3"/>
    </row>
    <row r="54" spans="1:86" x14ac:dyDescent="0.2">
      <c r="A54" s="9"/>
      <c r="B54" s="9"/>
      <c r="C54" s="9"/>
      <c r="D54" s="9"/>
      <c r="E54" s="9"/>
      <c r="F54" s="9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2"/>
      <c r="T54" s="225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248"/>
      <c r="AX54" s="17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2"/>
      <c r="CC54" s="225"/>
      <c r="CD54" s="3"/>
      <c r="CE54" s="3"/>
      <c r="CF54" s="3"/>
      <c r="CG54" s="3"/>
      <c r="CH54" s="3"/>
    </row>
    <row r="55" spans="1:86" x14ac:dyDescent="0.2">
      <c r="A55" s="9"/>
      <c r="B55" s="9"/>
      <c r="C55" s="9"/>
      <c r="D55" s="9"/>
      <c r="E55" s="9"/>
      <c r="F55" s="9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2"/>
      <c r="T55" s="225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248"/>
      <c r="AX55" s="17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2"/>
      <c r="CC55" s="225"/>
      <c r="CD55" s="3"/>
      <c r="CE55" s="3"/>
      <c r="CF55" s="3"/>
      <c r="CG55" s="3"/>
      <c r="CH55" s="3"/>
    </row>
    <row r="56" spans="1:86" x14ac:dyDescent="0.2">
      <c r="A56" s="9"/>
      <c r="B56" s="9"/>
      <c r="C56" s="9"/>
      <c r="D56" s="9"/>
      <c r="E56" s="9"/>
      <c r="F56" s="9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2"/>
      <c r="T56" s="225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248"/>
      <c r="AX56" s="17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2"/>
      <c r="CC56" s="225"/>
      <c r="CD56" s="3"/>
      <c r="CE56" s="3"/>
      <c r="CF56" s="3"/>
      <c r="CG56" s="3"/>
      <c r="CH56" s="3"/>
    </row>
    <row r="57" spans="1:86" hidden="1" x14ac:dyDescent="0.2"/>
  </sheetData>
  <mergeCells count="54">
    <mergeCell ref="A15:F15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30:F30"/>
    <mergeCell ref="A16:F16"/>
    <mergeCell ref="A17:F17"/>
    <mergeCell ref="A18:F18"/>
    <mergeCell ref="A20:F20"/>
    <mergeCell ref="A21:F21"/>
    <mergeCell ref="A22:F22"/>
    <mergeCell ref="A23:F23"/>
    <mergeCell ref="A24:F24"/>
    <mergeCell ref="A25:F25"/>
    <mergeCell ref="A28:F28"/>
    <mergeCell ref="A29:F29"/>
    <mergeCell ref="A42:F42"/>
    <mergeCell ref="A31:F31"/>
    <mergeCell ref="A32:F32"/>
    <mergeCell ref="A33:F33"/>
    <mergeCell ref="A34:F34"/>
    <mergeCell ref="A35:F35"/>
    <mergeCell ref="A36:F36"/>
    <mergeCell ref="AX1:CB1"/>
    <mergeCell ref="A43:F43"/>
    <mergeCell ref="A1:F1"/>
    <mergeCell ref="A19:F19"/>
    <mergeCell ref="A26:F26"/>
    <mergeCell ref="A27:F27"/>
    <mergeCell ref="T1:AW1"/>
    <mergeCell ref="G1:S1"/>
    <mergeCell ref="D3:F3"/>
    <mergeCell ref="A3:C3"/>
    <mergeCell ref="A4:F4"/>
    <mergeCell ref="A37:F37"/>
    <mergeCell ref="A38:F38"/>
    <mergeCell ref="A39:F39"/>
    <mergeCell ref="A40:F40"/>
    <mergeCell ref="A41:F41"/>
    <mergeCell ref="KG1:LJ1"/>
    <mergeCell ref="HX1:JA1"/>
    <mergeCell ref="JB1:KF1"/>
    <mergeCell ref="CC1:DF1"/>
    <mergeCell ref="DG1:EK1"/>
    <mergeCell ref="EL1:FP1"/>
    <mergeCell ref="FQ1:GR1"/>
    <mergeCell ref="GS1:HW1"/>
  </mergeCells>
  <conditionalFormatting sqref="G5:ACV56">
    <cfRule type="cellIs" dxfId="30" priority="1" operator="equal">
      <formula>2</formula>
    </cfRule>
    <cfRule type="cellIs" dxfId="29" priority="2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DEB9-25A8-47E1-B337-BA1239435D3A}">
  <dimension ref="A1:AO230"/>
  <sheetViews>
    <sheetView workbookViewId="0">
      <pane ySplit="21" topLeftCell="A22" activePane="bottomLeft" state="frozen"/>
      <selection pane="bottomLeft" activeCell="N20" sqref="N20:X20"/>
    </sheetView>
  </sheetViews>
  <sheetFormatPr defaultColWidth="0" defaultRowHeight="15" zeroHeight="1" x14ac:dyDescent="0.2"/>
  <cols>
    <col min="1" max="1" width="10.89453125" customWidth="1"/>
    <col min="2" max="2" width="20.4453125" customWidth="1"/>
    <col min="3" max="3" width="3.09375" customWidth="1"/>
    <col min="4" max="4" width="4.03515625" customWidth="1"/>
    <col min="5" max="5" width="4.5703125" customWidth="1"/>
    <col min="6" max="6" width="16.0078125" customWidth="1"/>
    <col min="7" max="7" width="13.1796875" customWidth="1"/>
    <col min="8" max="8" width="2.95703125" style="330" customWidth="1"/>
    <col min="9" max="9" width="16.8125" customWidth="1"/>
    <col min="10" max="23" width="12.64453125" customWidth="1"/>
    <col min="24" max="24" width="9.68359375" customWidth="1"/>
    <col min="25" max="25" width="2.015625" customWidth="1"/>
    <col min="26" max="41" width="12.64453125" hidden="1" customWidth="1"/>
  </cols>
  <sheetData>
    <row r="1" spans="1:41" ht="20.25" customHeight="1" x14ac:dyDescent="0.3">
      <c r="A1" s="403" t="str">
        <f>HYPERLINK("#'Table of Contents'!A1", "🏠 Return")</f>
        <v>🏠 Return</v>
      </c>
      <c r="B1" s="529" t="s">
        <v>22</v>
      </c>
      <c r="C1" s="529"/>
      <c r="D1" s="529"/>
      <c r="E1" s="529"/>
      <c r="F1" s="529"/>
      <c r="G1" s="529"/>
      <c r="H1" s="530" t="s">
        <v>23</v>
      </c>
      <c r="I1" s="529"/>
      <c r="J1" s="529"/>
      <c r="K1" s="529"/>
      <c r="L1" s="531"/>
      <c r="M1" s="532" t="s">
        <v>24</v>
      </c>
      <c r="N1" s="533"/>
      <c r="O1" s="533"/>
      <c r="P1" s="534"/>
      <c r="Q1" s="530" t="s">
        <v>25</v>
      </c>
      <c r="R1" s="529"/>
      <c r="S1" s="529"/>
      <c r="T1" s="531"/>
      <c r="U1" s="532" t="s">
        <v>24</v>
      </c>
      <c r="V1" s="533"/>
      <c r="W1" s="533"/>
      <c r="X1" s="535"/>
      <c r="Y1" s="356"/>
      <c r="Z1" s="356"/>
      <c r="AA1" s="356"/>
      <c r="AB1" s="356"/>
      <c r="AC1" s="356"/>
      <c r="AD1" s="356"/>
      <c r="AE1" s="356"/>
      <c r="AF1" s="356"/>
      <c r="AG1" s="356"/>
      <c r="AH1" s="356"/>
      <c r="AI1" s="356"/>
      <c r="AJ1" s="356"/>
      <c r="AK1" s="356"/>
      <c r="AL1" s="356"/>
      <c r="AM1" s="356"/>
      <c r="AN1" s="356"/>
      <c r="AO1" s="356"/>
    </row>
    <row r="2" spans="1:41" s="10" customFormat="1" ht="16.5" customHeight="1" x14ac:dyDescent="0.2">
      <c r="A2" s="368" t="s">
        <v>26</v>
      </c>
      <c r="B2" s="536"/>
      <c r="C2" s="536"/>
      <c r="D2" s="536"/>
      <c r="E2" s="536"/>
      <c r="F2" s="536"/>
      <c r="G2" s="536"/>
      <c r="H2" s="538"/>
      <c r="I2" s="539"/>
      <c r="J2" s="539"/>
      <c r="K2" s="539"/>
      <c r="L2" s="540"/>
      <c r="M2" s="544" t="s">
        <v>28</v>
      </c>
      <c r="N2" s="545"/>
      <c r="O2" s="545"/>
      <c r="P2" s="546"/>
      <c r="Q2" s="550" t="s">
        <v>29</v>
      </c>
      <c r="R2" s="551"/>
      <c r="S2" s="551"/>
      <c r="T2" s="552"/>
      <c r="U2" s="544" t="s">
        <v>28</v>
      </c>
      <c r="V2" s="545"/>
      <c r="W2" s="545"/>
      <c r="X2" s="556"/>
      <c r="Y2" s="357"/>
      <c r="Z2" s="357"/>
      <c r="AA2" s="357"/>
      <c r="AB2" s="357"/>
      <c r="AC2" s="357"/>
      <c r="AD2" s="357"/>
      <c r="AE2" s="357"/>
      <c r="AF2" s="357"/>
      <c r="AG2" s="357"/>
      <c r="AH2" s="357"/>
      <c r="AI2" s="357"/>
      <c r="AJ2" s="357"/>
      <c r="AK2" s="357"/>
      <c r="AL2" s="357"/>
      <c r="AM2" s="357"/>
      <c r="AN2" s="357"/>
      <c r="AO2" s="357"/>
    </row>
    <row r="3" spans="1:41" s="10" customFormat="1" ht="16.5" customHeight="1" x14ac:dyDescent="0.2">
      <c r="A3" s="380">
        <f>COUNTA(B22:B115)</f>
        <v>36</v>
      </c>
      <c r="B3" s="537"/>
      <c r="C3" s="537"/>
      <c r="D3" s="537"/>
      <c r="E3" s="537"/>
      <c r="F3" s="537"/>
      <c r="G3" s="537"/>
      <c r="H3" s="541"/>
      <c r="I3" s="542"/>
      <c r="J3" s="542"/>
      <c r="K3" s="542"/>
      <c r="L3" s="543"/>
      <c r="M3" s="547"/>
      <c r="N3" s="548"/>
      <c r="O3" s="548"/>
      <c r="P3" s="549"/>
      <c r="Q3" s="553"/>
      <c r="R3" s="554"/>
      <c r="S3" s="554"/>
      <c r="T3" s="555"/>
      <c r="U3" s="547"/>
      <c r="V3" s="548"/>
      <c r="W3" s="548"/>
      <c r="X3" s="557"/>
      <c r="Y3" s="357"/>
      <c r="Z3" s="357"/>
      <c r="AA3" s="357"/>
      <c r="AB3" s="357"/>
      <c r="AC3" s="357"/>
      <c r="AD3" s="357"/>
      <c r="AE3" s="357"/>
      <c r="AF3" s="357"/>
      <c r="AG3" s="357"/>
      <c r="AH3" s="357"/>
      <c r="AI3" s="357"/>
      <c r="AJ3" s="357"/>
      <c r="AK3" s="357"/>
      <c r="AL3" s="357"/>
      <c r="AM3" s="357"/>
      <c r="AN3" s="357"/>
      <c r="AO3" s="357"/>
    </row>
    <row r="4" spans="1:41" ht="17.25" customHeight="1" x14ac:dyDescent="0.2">
      <c r="A4" s="379" t="s">
        <v>30</v>
      </c>
      <c r="B4" s="558"/>
      <c r="C4" s="558"/>
      <c r="D4" s="558"/>
      <c r="E4" s="558"/>
      <c r="F4" s="558"/>
      <c r="G4" s="558"/>
      <c r="H4" s="560"/>
      <c r="I4" s="561"/>
      <c r="J4" s="561"/>
      <c r="K4" s="561"/>
      <c r="L4" s="562"/>
      <c r="M4" s="566" t="s">
        <v>28</v>
      </c>
      <c r="N4" s="567"/>
      <c r="O4" s="567"/>
      <c r="P4" s="568"/>
      <c r="Q4" s="572" t="s">
        <v>32</v>
      </c>
      <c r="R4" s="573"/>
      <c r="S4" s="573"/>
      <c r="T4" s="574"/>
      <c r="U4" s="578" t="s">
        <v>28</v>
      </c>
      <c r="V4" s="579"/>
      <c r="W4" s="579"/>
      <c r="X4" s="580"/>
      <c r="Y4" s="358"/>
      <c r="Z4" s="358"/>
      <c r="AA4" s="358"/>
      <c r="AB4" s="358"/>
      <c r="AC4" s="358"/>
      <c r="AD4" s="358"/>
      <c r="AE4" s="358"/>
      <c r="AF4" s="358"/>
      <c r="AG4" s="358"/>
      <c r="AH4" s="358"/>
      <c r="AI4" s="358"/>
      <c r="AJ4" s="358"/>
      <c r="AK4" s="358"/>
      <c r="AL4" s="358"/>
      <c r="AM4" s="358"/>
      <c r="AN4" s="358"/>
      <c r="AO4" s="358"/>
    </row>
    <row r="5" spans="1:41" ht="16.5" customHeight="1" x14ac:dyDescent="0.2">
      <c r="A5" s="369">
        <f>COUNTIF(H22:H161, 1)</f>
        <v>0</v>
      </c>
      <c r="B5" s="559"/>
      <c r="C5" s="559"/>
      <c r="D5" s="559"/>
      <c r="E5" s="559"/>
      <c r="F5" s="559"/>
      <c r="G5" s="559"/>
      <c r="H5" s="563"/>
      <c r="I5" s="564"/>
      <c r="J5" s="564"/>
      <c r="K5" s="564"/>
      <c r="L5" s="565"/>
      <c r="M5" s="569"/>
      <c r="N5" s="570"/>
      <c r="O5" s="570"/>
      <c r="P5" s="571"/>
      <c r="Q5" s="575"/>
      <c r="R5" s="576"/>
      <c r="S5" s="576"/>
      <c r="T5" s="577"/>
      <c r="U5" s="581"/>
      <c r="V5" s="582"/>
      <c r="W5" s="582"/>
      <c r="X5" s="583"/>
      <c r="Y5" s="358"/>
      <c r="Z5" s="358"/>
      <c r="AA5" s="358"/>
      <c r="AB5" s="358"/>
      <c r="AC5" s="358"/>
      <c r="AD5" s="358"/>
      <c r="AE5" s="358"/>
      <c r="AF5" s="358"/>
      <c r="AG5" s="358"/>
      <c r="AH5" s="358"/>
      <c r="AI5" s="358"/>
      <c r="AJ5" s="358"/>
      <c r="AK5" s="358"/>
      <c r="AL5" s="358"/>
      <c r="AM5" s="358"/>
      <c r="AN5" s="358"/>
      <c r="AO5" s="358"/>
    </row>
    <row r="6" spans="1:41" s="10" customFormat="1" ht="18" customHeight="1" x14ac:dyDescent="0.2">
      <c r="A6" s="378">
        <f>COUNTIF(H22:H131, 1)/$A$3</f>
        <v>0</v>
      </c>
      <c r="B6" s="584"/>
      <c r="C6" s="584"/>
      <c r="D6" s="584"/>
      <c r="E6" s="584"/>
      <c r="F6" s="584"/>
      <c r="G6" s="584"/>
      <c r="H6" s="585"/>
      <c r="I6" s="586"/>
      <c r="J6" s="586"/>
      <c r="K6" s="586"/>
      <c r="L6" s="587"/>
      <c r="M6" s="588" t="s">
        <v>28</v>
      </c>
      <c r="N6" s="589"/>
      <c r="O6" s="589"/>
      <c r="P6" s="590"/>
      <c r="Q6" s="591" t="s">
        <v>34</v>
      </c>
      <c r="R6" s="592"/>
      <c r="S6" s="592"/>
      <c r="T6" s="593"/>
      <c r="U6" s="544" t="s">
        <v>28</v>
      </c>
      <c r="V6" s="545"/>
      <c r="W6" s="545"/>
      <c r="X6" s="556"/>
      <c r="Y6" s="357"/>
      <c r="Z6" s="357"/>
      <c r="AA6" s="357"/>
      <c r="AB6" s="357"/>
      <c r="AC6" s="357"/>
      <c r="AD6" s="357"/>
      <c r="AE6" s="357"/>
      <c r="AF6" s="357"/>
      <c r="AG6" s="357"/>
      <c r="AH6" s="357"/>
      <c r="AI6" s="357"/>
      <c r="AJ6" s="357"/>
      <c r="AK6" s="357"/>
      <c r="AL6" s="357"/>
      <c r="AM6" s="357"/>
      <c r="AN6" s="357"/>
      <c r="AO6" s="357"/>
    </row>
    <row r="7" spans="1:41" s="10" customFormat="1" ht="16.5" customHeight="1" x14ac:dyDescent="0.2">
      <c r="A7" s="377" t="s">
        <v>35</v>
      </c>
      <c r="B7" s="537"/>
      <c r="C7" s="537"/>
      <c r="D7" s="537"/>
      <c r="E7" s="537"/>
      <c r="F7" s="537"/>
      <c r="G7" s="537"/>
      <c r="H7" s="541"/>
      <c r="I7" s="542"/>
      <c r="J7" s="542"/>
      <c r="K7" s="542"/>
      <c r="L7" s="543"/>
      <c r="M7" s="547"/>
      <c r="N7" s="548"/>
      <c r="O7" s="548"/>
      <c r="P7" s="549"/>
      <c r="Q7" s="553"/>
      <c r="R7" s="554"/>
      <c r="S7" s="554"/>
      <c r="T7" s="555"/>
      <c r="U7" s="547"/>
      <c r="V7" s="548"/>
      <c r="W7" s="548"/>
      <c r="X7" s="557"/>
      <c r="Y7" s="357"/>
      <c r="Z7" s="357"/>
      <c r="AA7" s="357"/>
      <c r="AB7" s="357"/>
      <c r="AC7" s="357"/>
      <c r="AD7" s="357"/>
      <c r="AE7" s="357"/>
      <c r="AF7" s="357"/>
      <c r="AG7" s="357"/>
      <c r="AH7" s="357"/>
      <c r="AI7" s="357"/>
      <c r="AJ7" s="357"/>
      <c r="AK7" s="357"/>
      <c r="AL7" s="357"/>
      <c r="AM7" s="357"/>
      <c r="AN7" s="357"/>
      <c r="AO7" s="357"/>
    </row>
    <row r="8" spans="1:41" ht="16.5" customHeight="1" x14ac:dyDescent="0.2">
      <c r="A8" s="370">
        <f>COUNTIF(H22:H161, 2)</f>
        <v>6</v>
      </c>
      <c r="B8" s="594"/>
      <c r="C8" s="594"/>
      <c r="D8" s="594"/>
      <c r="E8" s="594"/>
      <c r="F8" s="594"/>
      <c r="G8" s="594"/>
      <c r="H8" s="600"/>
      <c r="I8" s="601"/>
      <c r="J8" s="601"/>
      <c r="K8" s="601"/>
      <c r="L8" s="602"/>
      <c r="M8" s="596" t="s">
        <v>28</v>
      </c>
      <c r="N8" s="597"/>
      <c r="O8" s="597"/>
      <c r="P8" s="598"/>
      <c r="Q8" s="572" t="s">
        <v>37</v>
      </c>
      <c r="R8" s="573"/>
      <c r="S8" s="573"/>
      <c r="T8" s="574"/>
      <c r="U8" s="578" t="s">
        <v>28</v>
      </c>
      <c r="V8" s="579"/>
      <c r="W8" s="579"/>
      <c r="X8" s="580"/>
      <c r="Y8" s="358"/>
      <c r="Z8" s="358"/>
      <c r="AA8" s="358"/>
      <c r="AB8" s="358"/>
      <c r="AC8" s="358"/>
      <c r="AD8" s="358"/>
      <c r="AE8" s="358"/>
      <c r="AF8" s="358"/>
      <c r="AG8" s="358"/>
      <c r="AH8" s="358"/>
      <c r="AI8" s="358"/>
      <c r="AJ8" s="358"/>
      <c r="AK8" s="358"/>
      <c r="AL8" s="358"/>
      <c r="AM8" s="358"/>
      <c r="AN8" s="358"/>
      <c r="AO8" s="358"/>
    </row>
    <row r="9" spans="1:41" ht="16.5" customHeight="1" x14ac:dyDescent="0.2">
      <c r="A9" s="376">
        <f>COUNTIF(H22:H131, 2)/$A$3</f>
        <v>0.16666666666666666</v>
      </c>
      <c r="B9" s="595"/>
      <c r="C9" s="595"/>
      <c r="D9" s="595"/>
      <c r="E9" s="595"/>
      <c r="F9" s="595"/>
      <c r="G9" s="595"/>
      <c r="H9" s="603"/>
      <c r="I9" s="604"/>
      <c r="J9" s="604"/>
      <c r="K9" s="604"/>
      <c r="L9" s="605"/>
      <c r="M9" s="581"/>
      <c r="N9" s="582"/>
      <c r="O9" s="582"/>
      <c r="P9" s="599"/>
      <c r="Q9" s="575"/>
      <c r="R9" s="576"/>
      <c r="S9" s="576"/>
      <c r="T9" s="577"/>
      <c r="U9" s="581"/>
      <c r="V9" s="582"/>
      <c r="W9" s="582"/>
      <c r="X9" s="583"/>
      <c r="Y9" s="358"/>
      <c r="Z9" s="358"/>
      <c r="AA9" s="358"/>
      <c r="AB9" s="358"/>
      <c r="AC9" s="358"/>
      <c r="AD9" s="358"/>
      <c r="AE9" s="358"/>
      <c r="AF9" s="358"/>
      <c r="AG9" s="358"/>
      <c r="AH9" s="358"/>
      <c r="AI9" s="358"/>
      <c r="AJ9" s="358"/>
      <c r="AK9" s="358"/>
      <c r="AL9" s="358"/>
      <c r="AM9" s="358"/>
      <c r="AN9" s="358"/>
      <c r="AO9" s="358"/>
    </row>
    <row r="10" spans="1:41" s="10" customFormat="1" ht="18" customHeight="1" x14ac:dyDescent="0.2">
      <c r="A10" s="375" t="s">
        <v>38</v>
      </c>
      <c r="B10" s="536"/>
      <c r="C10" s="536"/>
      <c r="D10" s="536"/>
      <c r="E10" s="536"/>
      <c r="F10" s="536"/>
      <c r="G10" s="536"/>
      <c r="H10" s="585"/>
      <c r="I10" s="586"/>
      <c r="J10" s="586"/>
      <c r="K10" s="586"/>
      <c r="L10" s="587"/>
      <c r="M10" s="588" t="s">
        <v>28</v>
      </c>
      <c r="N10" s="589"/>
      <c r="O10" s="589"/>
      <c r="P10" s="590"/>
      <c r="Q10" s="606" t="s">
        <v>40</v>
      </c>
      <c r="R10" s="607"/>
      <c r="S10" s="607"/>
      <c r="T10" s="608"/>
      <c r="U10" s="544" t="s">
        <v>28</v>
      </c>
      <c r="V10" s="545"/>
      <c r="W10" s="545"/>
      <c r="X10" s="556"/>
      <c r="Y10" s="357"/>
      <c r="Z10" s="357"/>
      <c r="AA10" s="357"/>
      <c r="AB10" s="357"/>
      <c r="AC10" s="357"/>
      <c r="AD10" s="357"/>
      <c r="AE10" s="357"/>
      <c r="AF10" s="357"/>
      <c r="AG10" s="357"/>
      <c r="AH10" s="357"/>
      <c r="AI10" s="357"/>
      <c r="AJ10" s="357"/>
      <c r="AK10" s="357"/>
      <c r="AL10" s="357"/>
      <c r="AM10" s="357"/>
      <c r="AN10" s="357"/>
      <c r="AO10" s="357"/>
    </row>
    <row r="11" spans="1:41" s="10" customFormat="1" ht="16.5" customHeight="1" x14ac:dyDescent="0.2">
      <c r="A11" s="369">
        <f>SUM(A5,A8)</f>
        <v>6</v>
      </c>
      <c r="B11" s="537"/>
      <c r="C11" s="537"/>
      <c r="D11" s="537"/>
      <c r="E11" s="537"/>
      <c r="F11" s="537"/>
      <c r="G11" s="537"/>
      <c r="H11" s="541"/>
      <c r="I11" s="542"/>
      <c r="J11" s="542"/>
      <c r="K11" s="542"/>
      <c r="L11" s="543"/>
      <c r="M11" s="547"/>
      <c r="N11" s="548"/>
      <c r="O11" s="548"/>
      <c r="P11" s="549"/>
      <c r="Q11" s="609"/>
      <c r="R11" s="610"/>
      <c r="S11" s="610"/>
      <c r="T11" s="611"/>
      <c r="U11" s="547"/>
      <c r="V11" s="548"/>
      <c r="W11" s="548"/>
      <c r="X11" s="557"/>
      <c r="Y11" s="357"/>
      <c r="Z11" s="357"/>
      <c r="AA11" s="357"/>
      <c r="AB11" s="357"/>
      <c r="AC11" s="357"/>
      <c r="AD11" s="357"/>
      <c r="AE11" s="357"/>
      <c r="AF11" s="357"/>
      <c r="AG11" s="357"/>
      <c r="AH11" s="357"/>
      <c r="AI11" s="357"/>
      <c r="AJ11" s="357"/>
      <c r="AK11" s="357"/>
      <c r="AL11" s="357"/>
      <c r="AM11" s="357"/>
      <c r="AN11" s="357"/>
      <c r="AO11" s="357"/>
    </row>
    <row r="12" spans="1:41" s="328" customFormat="1" ht="16.5" customHeight="1" x14ac:dyDescent="0.2">
      <c r="A12" s="371">
        <f>SUM(A6,A9)</f>
        <v>0.16666666666666666</v>
      </c>
      <c r="B12" s="594"/>
      <c r="C12" s="594"/>
      <c r="D12" s="594"/>
      <c r="E12" s="594"/>
      <c r="F12" s="594"/>
      <c r="G12" s="594"/>
      <c r="H12" s="560"/>
      <c r="I12" s="561"/>
      <c r="J12" s="561"/>
      <c r="K12" s="561"/>
      <c r="L12" s="562"/>
      <c r="M12" s="596" t="s">
        <v>28</v>
      </c>
      <c r="N12" s="597"/>
      <c r="O12" s="597"/>
      <c r="P12" s="598"/>
      <c r="Q12" s="572" t="s">
        <v>42</v>
      </c>
      <c r="R12" s="573"/>
      <c r="S12" s="573"/>
      <c r="T12" s="574"/>
      <c r="U12" s="578" t="s">
        <v>28</v>
      </c>
      <c r="V12" s="579"/>
      <c r="W12" s="579"/>
      <c r="X12" s="580"/>
      <c r="Y12" s="358"/>
      <c r="Z12" s="358"/>
      <c r="AA12" s="358"/>
      <c r="AB12" s="358"/>
      <c r="AC12" s="358"/>
      <c r="AD12" s="358"/>
      <c r="AE12" s="358"/>
      <c r="AF12" s="358"/>
      <c r="AG12" s="358"/>
      <c r="AH12" s="358"/>
      <c r="AI12" s="358"/>
      <c r="AJ12" s="358"/>
      <c r="AK12" s="358"/>
      <c r="AL12" s="358"/>
      <c r="AM12" s="358"/>
      <c r="AN12" s="358"/>
      <c r="AO12" s="358"/>
    </row>
    <row r="13" spans="1:41" s="328" customFormat="1" ht="15.75" customHeight="1" x14ac:dyDescent="0.2">
      <c r="A13" s="385"/>
      <c r="B13" s="595"/>
      <c r="C13" s="595"/>
      <c r="D13" s="595"/>
      <c r="E13" s="595"/>
      <c r="F13" s="595"/>
      <c r="G13" s="595"/>
      <c r="H13" s="563"/>
      <c r="I13" s="564"/>
      <c r="J13" s="564"/>
      <c r="K13" s="564"/>
      <c r="L13" s="565"/>
      <c r="M13" s="581"/>
      <c r="N13" s="582"/>
      <c r="O13" s="582"/>
      <c r="P13" s="599"/>
      <c r="Q13" s="575"/>
      <c r="R13" s="576"/>
      <c r="S13" s="576"/>
      <c r="T13" s="577"/>
      <c r="U13" s="581"/>
      <c r="V13" s="582"/>
      <c r="W13" s="582"/>
      <c r="X13" s="583"/>
      <c r="Y13" s="358"/>
      <c r="Z13" s="358"/>
      <c r="AA13" s="358"/>
      <c r="AB13" s="358"/>
      <c r="AC13" s="358"/>
      <c r="AD13" s="358"/>
      <c r="AE13" s="358"/>
      <c r="AF13" s="358"/>
      <c r="AG13" s="358"/>
      <c r="AH13" s="358"/>
      <c r="AI13" s="358"/>
      <c r="AJ13" s="358"/>
      <c r="AK13" s="358"/>
      <c r="AL13" s="358"/>
      <c r="AM13" s="358"/>
      <c r="AN13" s="358"/>
      <c r="AO13" s="358"/>
    </row>
    <row r="14" spans="1:41" s="10" customFormat="1" ht="15.75" customHeight="1" x14ac:dyDescent="0.2">
      <c r="A14" s="373" t="s">
        <v>43</v>
      </c>
      <c r="B14" s="584"/>
      <c r="C14" s="584"/>
      <c r="D14" s="584"/>
      <c r="E14" s="584"/>
      <c r="F14" s="584"/>
      <c r="G14" s="584"/>
      <c r="H14" s="585"/>
      <c r="I14" s="586"/>
      <c r="J14" s="586"/>
      <c r="K14" s="586"/>
      <c r="L14" s="587"/>
      <c r="M14" s="588" t="s">
        <v>28</v>
      </c>
      <c r="N14" s="589"/>
      <c r="O14" s="589"/>
      <c r="P14" s="590"/>
      <c r="Q14" s="591" t="s">
        <v>45</v>
      </c>
      <c r="R14" s="592"/>
      <c r="S14" s="592"/>
      <c r="T14" s="593"/>
      <c r="U14" s="544" t="s">
        <v>28</v>
      </c>
      <c r="V14" s="545"/>
      <c r="W14" s="545"/>
      <c r="X14" s="556"/>
      <c r="Y14" s="357"/>
      <c r="Z14" s="357"/>
      <c r="AA14" s="357"/>
      <c r="AB14" s="357"/>
      <c r="AC14" s="357"/>
      <c r="AD14" s="357"/>
      <c r="AE14" s="357"/>
      <c r="AF14" s="357"/>
      <c r="AG14" s="357"/>
      <c r="AH14" s="357"/>
      <c r="AI14" s="357"/>
      <c r="AJ14" s="357"/>
      <c r="AK14" s="357"/>
      <c r="AL14" s="357"/>
      <c r="AM14" s="357"/>
      <c r="AN14" s="357"/>
      <c r="AO14" s="357"/>
    </row>
    <row r="15" spans="1:41" s="10" customFormat="1" ht="17.25" customHeight="1" x14ac:dyDescent="0.2">
      <c r="A15" s="372"/>
      <c r="B15" s="537"/>
      <c r="C15" s="537"/>
      <c r="D15" s="537"/>
      <c r="E15" s="537"/>
      <c r="F15" s="537"/>
      <c r="G15" s="537"/>
      <c r="H15" s="541"/>
      <c r="I15" s="542"/>
      <c r="J15" s="542"/>
      <c r="K15" s="542"/>
      <c r="L15" s="543"/>
      <c r="M15" s="547"/>
      <c r="N15" s="548"/>
      <c r="O15" s="548"/>
      <c r="P15" s="549"/>
      <c r="Q15" s="553"/>
      <c r="R15" s="554"/>
      <c r="S15" s="554"/>
      <c r="T15" s="555"/>
      <c r="U15" s="547"/>
      <c r="V15" s="548"/>
      <c r="W15" s="548"/>
      <c r="X15" s="557"/>
      <c r="Y15" s="357"/>
      <c r="Z15" s="357"/>
      <c r="AA15" s="357"/>
      <c r="AB15" s="357"/>
      <c r="AC15" s="357"/>
      <c r="AD15" s="357"/>
      <c r="AE15" s="357"/>
      <c r="AF15" s="357"/>
      <c r="AG15" s="357"/>
      <c r="AH15" s="357"/>
      <c r="AI15" s="357"/>
      <c r="AJ15" s="357"/>
      <c r="AK15" s="357"/>
      <c r="AL15" s="357"/>
      <c r="AM15" s="357"/>
      <c r="AN15" s="357"/>
      <c r="AO15" s="357"/>
    </row>
    <row r="16" spans="1:41" s="328" customFormat="1" ht="16.5" customHeight="1" x14ac:dyDescent="0.2">
      <c r="A16" s="372"/>
      <c r="B16" s="558"/>
      <c r="C16" s="558"/>
      <c r="D16" s="558"/>
      <c r="E16" s="558"/>
      <c r="F16" s="558"/>
      <c r="G16" s="558"/>
      <c r="H16" s="600"/>
      <c r="I16" s="601"/>
      <c r="J16" s="601"/>
      <c r="K16" s="601"/>
      <c r="L16" s="602"/>
      <c r="M16" s="596" t="s">
        <v>28</v>
      </c>
      <c r="N16" s="597"/>
      <c r="O16" s="597"/>
      <c r="P16" s="598"/>
      <c r="Q16" s="572"/>
      <c r="R16" s="573"/>
      <c r="S16" s="573"/>
      <c r="T16" s="574"/>
      <c r="U16" s="578" t="s">
        <v>28</v>
      </c>
      <c r="V16" s="579"/>
      <c r="W16" s="579"/>
      <c r="X16" s="580"/>
      <c r="Y16" s="358"/>
      <c r="Z16" s="358"/>
      <c r="AA16" s="358"/>
      <c r="AB16" s="358"/>
      <c r="AC16" s="358"/>
      <c r="AD16" s="358"/>
      <c r="AE16" s="358"/>
      <c r="AF16" s="358"/>
      <c r="AG16" s="358"/>
      <c r="AH16" s="358"/>
      <c r="AI16" s="358"/>
      <c r="AJ16" s="358"/>
      <c r="AK16" s="358"/>
      <c r="AL16" s="358"/>
      <c r="AM16" s="358"/>
      <c r="AN16" s="358"/>
      <c r="AO16" s="358"/>
    </row>
    <row r="17" spans="1:41" s="328" customFormat="1" ht="18" customHeight="1" x14ac:dyDescent="0.2">
      <c r="A17" s="373"/>
      <c r="B17" s="559"/>
      <c r="C17" s="559"/>
      <c r="D17" s="559"/>
      <c r="E17" s="559"/>
      <c r="F17" s="559"/>
      <c r="G17" s="559"/>
      <c r="H17" s="603"/>
      <c r="I17" s="604"/>
      <c r="J17" s="604"/>
      <c r="K17" s="604"/>
      <c r="L17" s="605"/>
      <c r="M17" s="581"/>
      <c r="N17" s="582"/>
      <c r="O17" s="582"/>
      <c r="P17" s="599"/>
      <c r="Q17" s="575"/>
      <c r="R17" s="576"/>
      <c r="S17" s="576"/>
      <c r="T17" s="577"/>
      <c r="U17" s="581"/>
      <c r="V17" s="582"/>
      <c r="W17" s="582"/>
      <c r="X17" s="583"/>
      <c r="Y17" s="358"/>
      <c r="Z17" s="358"/>
      <c r="AA17" s="358"/>
      <c r="AB17" s="358"/>
      <c r="AC17" s="358"/>
      <c r="AD17" s="358"/>
      <c r="AE17" s="358"/>
      <c r="AF17" s="358"/>
      <c r="AG17" s="358"/>
      <c r="AH17" s="358"/>
      <c r="AI17" s="358"/>
      <c r="AJ17" s="358"/>
      <c r="AK17" s="358"/>
      <c r="AL17" s="358"/>
      <c r="AM17" s="358"/>
      <c r="AN17" s="358"/>
      <c r="AO17" s="358"/>
    </row>
    <row r="18" spans="1:41" s="10" customFormat="1" ht="16.5" customHeight="1" x14ac:dyDescent="0.2">
      <c r="A18" s="373"/>
      <c r="B18" s="614"/>
      <c r="C18" s="614"/>
      <c r="D18" s="614"/>
      <c r="E18" s="614"/>
      <c r="F18" s="614"/>
      <c r="G18" s="614"/>
      <c r="H18" s="606"/>
      <c r="I18" s="607"/>
      <c r="J18" s="607"/>
      <c r="K18" s="607"/>
      <c r="L18" s="608"/>
      <c r="M18" s="588" t="s">
        <v>28</v>
      </c>
      <c r="N18" s="589"/>
      <c r="O18" s="589"/>
      <c r="P18" s="590"/>
      <c r="Q18" s="591"/>
      <c r="R18" s="592"/>
      <c r="S18" s="592"/>
      <c r="T18" s="593"/>
      <c r="U18" s="544" t="s">
        <v>28</v>
      </c>
      <c r="V18" s="545"/>
      <c r="W18" s="545"/>
      <c r="X18" s="556"/>
      <c r="Y18" s="357"/>
      <c r="Z18" s="357"/>
      <c r="AA18" s="357"/>
      <c r="AB18" s="357"/>
      <c r="AC18" s="357"/>
      <c r="AD18" s="357"/>
      <c r="AE18" s="357"/>
      <c r="AF18" s="357"/>
      <c r="AG18" s="357"/>
      <c r="AH18" s="357"/>
      <c r="AI18" s="357"/>
      <c r="AJ18" s="357"/>
      <c r="AK18" s="357"/>
      <c r="AL18" s="357"/>
      <c r="AM18" s="357"/>
      <c r="AN18" s="357"/>
      <c r="AO18" s="357"/>
    </row>
    <row r="19" spans="1:41" s="10" customFormat="1" ht="16.5" customHeight="1" x14ac:dyDescent="0.2">
      <c r="A19" s="374"/>
      <c r="B19" s="615"/>
      <c r="C19" s="615"/>
      <c r="D19" s="615"/>
      <c r="E19" s="615"/>
      <c r="F19" s="615"/>
      <c r="G19" s="615"/>
      <c r="H19" s="616"/>
      <c r="I19" s="617"/>
      <c r="J19" s="617"/>
      <c r="K19" s="617"/>
      <c r="L19" s="618"/>
      <c r="M19" s="619"/>
      <c r="N19" s="620"/>
      <c r="O19" s="620"/>
      <c r="P19" s="621"/>
      <c r="Q19" s="622"/>
      <c r="R19" s="623"/>
      <c r="S19" s="623"/>
      <c r="T19" s="624"/>
      <c r="U19" s="619"/>
      <c r="V19" s="620"/>
      <c r="W19" s="620"/>
      <c r="X19" s="625"/>
      <c r="Y19" s="357"/>
      <c r="Z19" s="357"/>
      <c r="AA19" s="357"/>
      <c r="AB19" s="357"/>
      <c r="AC19" s="357"/>
      <c r="AD19" s="357"/>
      <c r="AE19" s="357"/>
      <c r="AF19" s="357"/>
      <c r="AG19" s="357"/>
      <c r="AH19" s="357"/>
      <c r="AI19" s="357"/>
      <c r="AJ19" s="357"/>
      <c r="AK19" s="357"/>
      <c r="AL19" s="357"/>
      <c r="AM19" s="357"/>
      <c r="AN19" s="357"/>
      <c r="AO19" s="357"/>
    </row>
    <row r="20" spans="1:41" s="1" customFormat="1" ht="15" customHeight="1" x14ac:dyDescent="0.2">
      <c r="A20" s="626" t="s">
        <v>47</v>
      </c>
      <c r="B20" s="627" t="s">
        <v>48</v>
      </c>
      <c r="C20" s="628" t="s">
        <v>49</v>
      </c>
      <c r="D20" s="628" t="s">
        <v>50</v>
      </c>
      <c r="E20" s="628" t="s">
        <v>51</v>
      </c>
      <c r="F20" s="628" t="s">
        <v>52</v>
      </c>
      <c r="G20" s="628" t="s">
        <v>53</v>
      </c>
      <c r="H20" s="642" t="s">
        <v>54</v>
      </c>
      <c r="I20" s="643"/>
      <c r="J20" s="644" t="s">
        <v>55</v>
      </c>
      <c r="K20" s="645"/>
      <c r="L20" s="645"/>
      <c r="M20" s="646"/>
      <c r="N20" s="647" t="s">
        <v>56</v>
      </c>
      <c r="O20" s="647"/>
      <c r="P20" s="647"/>
      <c r="Q20" s="647"/>
      <c r="R20" s="647"/>
      <c r="S20" s="647"/>
      <c r="T20" s="647"/>
      <c r="U20" s="647"/>
      <c r="V20" s="647"/>
      <c r="W20" s="647"/>
      <c r="X20" s="648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</row>
    <row r="21" spans="1:41" s="341" customFormat="1" ht="15" customHeight="1" x14ac:dyDescent="0.2">
      <c r="A21" s="626"/>
      <c r="B21" s="627"/>
      <c r="C21" s="628"/>
      <c r="D21" s="628"/>
      <c r="E21" s="628"/>
      <c r="F21" s="628"/>
      <c r="G21" s="628"/>
      <c r="H21" s="335"/>
      <c r="I21" s="367" t="s">
        <v>57</v>
      </c>
      <c r="J21" s="649" t="s">
        <v>58</v>
      </c>
      <c r="K21" s="612"/>
      <c r="L21" s="612"/>
      <c r="M21" s="612" t="s">
        <v>59</v>
      </c>
      <c r="N21" s="613"/>
      <c r="O21" s="613"/>
      <c r="P21" s="613" t="s">
        <v>60</v>
      </c>
      <c r="Q21" s="613"/>
      <c r="R21" s="613"/>
      <c r="S21" s="613" t="s">
        <v>61</v>
      </c>
      <c r="T21" s="613"/>
      <c r="U21" s="613"/>
      <c r="V21" s="613" t="s">
        <v>62</v>
      </c>
      <c r="W21" s="613"/>
      <c r="X21" s="634"/>
      <c r="Y21" s="359"/>
      <c r="Z21" s="359"/>
      <c r="AA21" s="359"/>
      <c r="AB21" s="359"/>
      <c r="AC21" s="359"/>
      <c r="AD21" s="359"/>
      <c r="AE21" s="359"/>
      <c r="AF21" s="359"/>
      <c r="AG21" s="359"/>
      <c r="AH21" s="359"/>
      <c r="AI21" s="359"/>
      <c r="AJ21" s="359"/>
      <c r="AK21" s="359"/>
      <c r="AL21" s="359"/>
      <c r="AM21" s="359"/>
      <c r="AN21" s="359"/>
      <c r="AO21" s="359"/>
    </row>
    <row r="22" spans="1:41" s="345" customFormat="1" x14ac:dyDescent="0.2">
      <c r="A22" s="635" t="s">
        <v>63</v>
      </c>
      <c r="B22" s="381" t="s">
        <v>64</v>
      </c>
      <c r="C22" s="363">
        <v>5</v>
      </c>
      <c r="D22" s="40"/>
      <c r="E22" s="365" t="s">
        <v>65</v>
      </c>
      <c r="F22" s="364" t="s">
        <v>66</v>
      </c>
      <c r="G22" s="364"/>
      <c r="H22" s="365"/>
      <c r="I22" s="366"/>
      <c r="J22" s="638"/>
      <c r="K22" s="639"/>
      <c r="L22" s="639"/>
      <c r="M22" s="639"/>
      <c r="N22" s="639"/>
      <c r="O22" s="639"/>
      <c r="P22" s="639"/>
      <c r="Q22" s="639"/>
      <c r="R22" s="639"/>
      <c r="S22" s="639"/>
      <c r="T22" s="639"/>
      <c r="U22" s="639"/>
      <c r="V22" s="639"/>
      <c r="W22" s="639"/>
      <c r="X22" s="640"/>
    </row>
    <row r="23" spans="1:41" s="1" customFormat="1" x14ac:dyDescent="0.2">
      <c r="A23" s="636"/>
      <c r="B23" s="382" t="s">
        <v>70</v>
      </c>
      <c r="C23" s="175">
        <v>2</v>
      </c>
      <c r="D23" s="14"/>
      <c r="E23" s="332" t="s">
        <v>71</v>
      </c>
      <c r="F23" s="3" t="s">
        <v>72</v>
      </c>
      <c r="G23" s="3"/>
      <c r="H23" s="332"/>
      <c r="I23" s="339"/>
      <c r="J23" s="641"/>
      <c r="K23" s="629"/>
      <c r="L23" s="629"/>
      <c r="M23" s="629"/>
      <c r="N23" s="629"/>
      <c r="O23" s="629"/>
      <c r="P23" s="629"/>
      <c r="Q23" s="629"/>
      <c r="R23" s="629"/>
      <c r="S23" s="629"/>
      <c r="T23" s="629"/>
      <c r="U23" s="629"/>
      <c r="V23" s="629"/>
      <c r="W23" s="629"/>
      <c r="X23" s="630"/>
    </row>
    <row r="24" spans="1:41" s="345" customFormat="1" x14ac:dyDescent="0.2">
      <c r="A24" s="636"/>
      <c r="B24" s="383" t="s">
        <v>73</v>
      </c>
      <c r="C24" s="346">
        <v>4</v>
      </c>
      <c r="D24" s="14"/>
      <c r="E24" s="347" t="s">
        <v>65</v>
      </c>
      <c r="F24" s="303"/>
      <c r="G24" s="303"/>
      <c r="H24" s="347"/>
      <c r="I24" s="348"/>
      <c r="J24" s="631"/>
      <c r="K24" s="632"/>
      <c r="L24" s="632"/>
      <c r="M24" s="632"/>
      <c r="N24" s="632"/>
      <c r="O24" s="632"/>
      <c r="P24" s="632"/>
      <c r="Q24" s="632"/>
      <c r="R24" s="632"/>
      <c r="S24" s="632"/>
      <c r="T24" s="632"/>
      <c r="U24" s="632"/>
      <c r="V24" s="632"/>
      <c r="W24" s="632"/>
      <c r="X24" s="633"/>
    </row>
    <row r="25" spans="1:41" s="1" customFormat="1" x14ac:dyDescent="0.2">
      <c r="A25" s="636"/>
      <c r="B25" s="382" t="s">
        <v>75</v>
      </c>
      <c r="C25" s="175">
        <v>1</v>
      </c>
      <c r="D25" s="14"/>
      <c r="E25" s="332" t="s">
        <v>71</v>
      </c>
      <c r="F25" s="3" t="s">
        <v>76</v>
      </c>
      <c r="G25" s="3"/>
      <c r="H25" s="332"/>
      <c r="I25" s="339"/>
      <c r="J25" s="641"/>
      <c r="K25" s="629"/>
      <c r="L25" s="629"/>
      <c r="M25" s="629"/>
      <c r="N25" s="629"/>
      <c r="O25" s="629"/>
      <c r="P25" s="629"/>
      <c r="Q25" s="629"/>
      <c r="R25" s="629"/>
      <c r="S25" s="629"/>
      <c r="T25" s="629"/>
      <c r="U25" s="629"/>
      <c r="V25" s="629"/>
      <c r="W25" s="629"/>
      <c r="X25" s="630"/>
    </row>
    <row r="26" spans="1:41" s="345" customFormat="1" x14ac:dyDescent="0.2">
      <c r="A26" s="636"/>
      <c r="B26" s="383" t="s">
        <v>77</v>
      </c>
      <c r="C26" s="346">
        <v>2</v>
      </c>
      <c r="D26" s="43"/>
      <c r="E26" s="347" t="s">
        <v>71</v>
      </c>
      <c r="F26" s="303"/>
      <c r="G26" s="303"/>
      <c r="H26" s="347"/>
      <c r="I26" s="348"/>
      <c r="J26" s="631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3"/>
    </row>
    <row r="27" spans="1:41" s="1" customFormat="1" x14ac:dyDescent="0.2">
      <c r="A27" s="636"/>
      <c r="B27" s="382" t="s">
        <v>79</v>
      </c>
      <c r="C27" s="175">
        <v>5</v>
      </c>
      <c r="D27" s="199"/>
      <c r="E27" s="332" t="s">
        <v>71</v>
      </c>
      <c r="F27" s="3"/>
      <c r="G27" s="3"/>
      <c r="H27" s="332"/>
      <c r="I27" s="339"/>
      <c r="J27" s="641"/>
      <c r="K27" s="629"/>
      <c r="L27" s="629"/>
      <c r="M27" s="629"/>
      <c r="N27" s="629"/>
      <c r="O27" s="629"/>
      <c r="P27" s="629"/>
      <c r="Q27" s="629"/>
      <c r="R27" s="629"/>
      <c r="S27" s="629"/>
      <c r="T27" s="629"/>
      <c r="U27" s="629"/>
      <c r="V27" s="629"/>
      <c r="W27" s="629"/>
      <c r="X27" s="630"/>
    </row>
    <row r="28" spans="1:41" s="345" customFormat="1" x14ac:dyDescent="0.2">
      <c r="A28" s="636"/>
      <c r="B28" s="383" t="s">
        <v>82</v>
      </c>
      <c r="C28" s="346">
        <v>2</v>
      </c>
      <c r="D28" s="14"/>
      <c r="E28" s="347" t="s">
        <v>71</v>
      </c>
      <c r="F28" s="303"/>
      <c r="G28" s="303"/>
      <c r="H28" s="347"/>
      <c r="I28" s="348"/>
      <c r="J28" s="631"/>
      <c r="K28" s="632"/>
      <c r="L28" s="632"/>
      <c r="M28" s="632"/>
      <c r="N28" s="632"/>
      <c r="O28" s="632"/>
      <c r="P28" s="632"/>
      <c r="Q28" s="632"/>
      <c r="R28" s="632"/>
      <c r="S28" s="632"/>
      <c r="T28" s="632"/>
      <c r="U28" s="632"/>
      <c r="V28" s="632"/>
      <c r="W28" s="632"/>
      <c r="X28" s="633"/>
    </row>
    <row r="29" spans="1:41" s="1" customFormat="1" x14ac:dyDescent="0.2">
      <c r="A29" s="636"/>
      <c r="B29" s="382"/>
      <c r="C29" s="175"/>
      <c r="D29" s="3"/>
      <c r="E29" s="332"/>
      <c r="F29" s="3"/>
      <c r="G29" s="3"/>
      <c r="H29" s="332"/>
      <c r="I29" s="339"/>
      <c r="J29" s="641"/>
      <c r="K29" s="629"/>
      <c r="L29" s="629"/>
      <c r="M29" s="629"/>
      <c r="N29" s="629"/>
      <c r="O29" s="629"/>
      <c r="P29" s="629"/>
      <c r="Q29" s="629"/>
      <c r="R29" s="629"/>
      <c r="S29" s="629"/>
      <c r="T29" s="629"/>
      <c r="U29" s="629"/>
      <c r="V29" s="629"/>
      <c r="W29" s="629"/>
      <c r="X29" s="630"/>
    </row>
    <row r="30" spans="1:41" s="345" customFormat="1" x14ac:dyDescent="0.2">
      <c r="A30" s="636"/>
      <c r="B30" s="383"/>
      <c r="C30" s="346"/>
      <c r="D30" s="303"/>
      <c r="E30" s="347"/>
      <c r="F30" s="303"/>
      <c r="G30" s="303"/>
      <c r="H30" s="347"/>
      <c r="I30" s="348"/>
      <c r="J30" s="631"/>
      <c r="K30" s="632"/>
      <c r="L30" s="632"/>
      <c r="M30" s="632"/>
      <c r="N30" s="632"/>
      <c r="O30" s="632"/>
      <c r="P30" s="632"/>
      <c r="Q30" s="632"/>
      <c r="R30" s="632"/>
      <c r="S30" s="632"/>
      <c r="T30" s="632"/>
      <c r="U30" s="632"/>
      <c r="V30" s="632"/>
      <c r="W30" s="632"/>
      <c r="X30" s="633"/>
    </row>
    <row r="31" spans="1:41" s="341" customFormat="1" x14ac:dyDescent="0.2">
      <c r="A31" s="637"/>
      <c r="B31" s="384"/>
      <c r="C31" s="360"/>
      <c r="D31" s="333"/>
      <c r="E31" s="334"/>
      <c r="F31" s="333"/>
      <c r="G31" s="333"/>
      <c r="H31" s="334"/>
      <c r="I31" s="361"/>
      <c r="J31" s="656"/>
      <c r="K31" s="657"/>
      <c r="L31" s="657"/>
      <c r="M31" s="657"/>
      <c r="N31" s="657"/>
      <c r="O31" s="657"/>
      <c r="P31" s="657"/>
      <c r="Q31" s="657"/>
      <c r="R31" s="657"/>
      <c r="S31" s="657"/>
      <c r="T31" s="657"/>
      <c r="U31" s="657"/>
      <c r="V31" s="657"/>
      <c r="W31" s="657"/>
      <c r="X31" s="658"/>
    </row>
    <row r="32" spans="1:41" s="345" customFormat="1" x14ac:dyDescent="0.2">
      <c r="A32" s="650" t="s">
        <v>83</v>
      </c>
      <c r="B32" s="397" t="s">
        <v>84</v>
      </c>
      <c r="C32" s="292">
        <v>1</v>
      </c>
      <c r="D32" s="162"/>
      <c r="E32" s="342" t="s">
        <v>65</v>
      </c>
      <c r="F32" s="163" t="s">
        <v>85</v>
      </c>
      <c r="G32" s="344"/>
      <c r="H32" s="342"/>
      <c r="I32" s="343"/>
      <c r="J32" s="653"/>
      <c r="K32" s="654"/>
      <c r="L32" s="654"/>
      <c r="M32" s="629"/>
      <c r="N32" s="629"/>
      <c r="O32" s="629"/>
      <c r="P32" s="654"/>
      <c r="Q32" s="654"/>
      <c r="R32" s="654"/>
      <c r="S32" s="654"/>
      <c r="T32" s="654"/>
      <c r="U32" s="654"/>
      <c r="V32" s="654"/>
      <c r="W32" s="654"/>
      <c r="X32" s="655"/>
    </row>
    <row r="33" spans="1:24" s="1" customFormat="1" x14ac:dyDescent="0.2">
      <c r="A33" s="651"/>
      <c r="B33" s="394" t="s">
        <v>87</v>
      </c>
      <c r="C33" s="304">
        <v>3</v>
      </c>
      <c r="D33" s="14"/>
      <c r="E33" s="332" t="s">
        <v>71</v>
      </c>
      <c r="F33" s="159" t="s">
        <v>88</v>
      </c>
      <c r="G33" s="3"/>
      <c r="H33" s="332"/>
      <c r="I33" s="339"/>
      <c r="J33" s="641"/>
      <c r="K33" s="629"/>
      <c r="L33" s="629"/>
      <c r="M33" s="629"/>
      <c r="N33" s="629"/>
      <c r="O33" s="629"/>
      <c r="P33" s="629"/>
      <c r="Q33" s="629"/>
      <c r="R33" s="629"/>
      <c r="S33" s="629"/>
      <c r="T33" s="629"/>
      <c r="U33" s="629"/>
      <c r="V33" s="629"/>
      <c r="W33" s="629"/>
      <c r="X33" s="630"/>
    </row>
    <row r="34" spans="1:24" s="345" customFormat="1" x14ac:dyDescent="0.2">
      <c r="A34" s="651"/>
      <c r="B34" s="395" t="s">
        <v>90</v>
      </c>
      <c r="C34" s="386">
        <v>4</v>
      </c>
      <c r="D34" s="199"/>
      <c r="E34" s="347" t="s">
        <v>71</v>
      </c>
      <c r="F34" s="303"/>
      <c r="G34" s="303"/>
      <c r="H34" s="347"/>
      <c r="I34" s="348"/>
      <c r="J34" s="631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3"/>
    </row>
    <row r="35" spans="1:24" s="1" customFormat="1" x14ac:dyDescent="0.2">
      <c r="A35" s="651"/>
      <c r="B35" s="394" t="s">
        <v>92</v>
      </c>
      <c r="C35" s="387">
        <v>4</v>
      </c>
      <c r="D35" s="199"/>
      <c r="E35" s="332" t="s">
        <v>71</v>
      </c>
      <c r="F35" s="3"/>
      <c r="G35" s="3"/>
      <c r="H35" s="332"/>
      <c r="I35" s="339"/>
      <c r="J35" s="641"/>
      <c r="K35" s="629"/>
      <c r="L35" s="629"/>
      <c r="M35" s="629"/>
      <c r="N35" s="629"/>
      <c r="O35" s="629"/>
      <c r="P35" s="629"/>
      <c r="Q35" s="629"/>
      <c r="R35" s="629"/>
      <c r="S35" s="629"/>
      <c r="T35" s="629"/>
      <c r="U35" s="629"/>
      <c r="V35" s="629"/>
      <c r="W35" s="629"/>
      <c r="X35" s="630"/>
    </row>
    <row r="36" spans="1:24" s="345" customFormat="1" x14ac:dyDescent="0.2">
      <c r="A36" s="651"/>
      <c r="B36" s="395"/>
      <c r="C36" s="346"/>
      <c r="D36" s="303"/>
      <c r="E36" s="347"/>
      <c r="F36" s="303"/>
      <c r="G36" s="303"/>
      <c r="H36" s="347"/>
      <c r="I36" s="348"/>
      <c r="J36" s="631"/>
      <c r="K36" s="632"/>
      <c r="L36" s="632"/>
      <c r="M36" s="632"/>
      <c r="N36" s="632"/>
      <c r="O36" s="632"/>
      <c r="P36" s="632"/>
      <c r="Q36" s="632"/>
      <c r="R36" s="632"/>
      <c r="S36" s="632"/>
      <c r="T36" s="632"/>
      <c r="U36" s="632"/>
      <c r="V36" s="632"/>
      <c r="W36" s="632"/>
      <c r="X36" s="633"/>
    </row>
    <row r="37" spans="1:24" s="1" customFormat="1" x14ac:dyDescent="0.2">
      <c r="A37" s="651"/>
      <c r="B37" s="394"/>
      <c r="C37" s="175"/>
      <c r="D37" s="3"/>
      <c r="E37" s="332"/>
      <c r="F37" s="3"/>
      <c r="G37" s="3"/>
      <c r="H37" s="332"/>
      <c r="I37" s="339"/>
      <c r="J37" s="641"/>
      <c r="K37" s="629"/>
      <c r="L37" s="629"/>
      <c r="M37" s="629"/>
      <c r="N37" s="629"/>
      <c r="O37" s="629"/>
      <c r="P37" s="629"/>
      <c r="Q37" s="629"/>
      <c r="R37" s="629"/>
      <c r="S37" s="629"/>
      <c r="T37" s="629"/>
      <c r="U37" s="629"/>
      <c r="V37" s="629"/>
      <c r="W37" s="629"/>
      <c r="X37" s="630"/>
    </row>
    <row r="38" spans="1:24" s="345" customFormat="1" x14ac:dyDescent="0.2">
      <c r="A38" s="651"/>
      <c r="B38" s="395"/>
      <c r="C38" s="346"/>
      <c r="D38" s="303"/>
      <c r="E38" s="347"/>
      <c r="F38" s="303"/>
      <c r="G38" s="303"/>
      <c r="H38" s="347"/>
      <c r="I38" s="348"/>
      <c r="J38" s="631"/>
      <c r="K38" s="632"/>
      <c r="L38" s="632"/>
      <c r="M38" s="632"/>
      <c r="N38" s="632"/>
      <c r="O38" s="632"/>
      <c r="P38" s="632"/>
      <c r="Q38" s="632"/>
      <c r="R38" s="632"/>
      <c r="S38" s="632"/>
      <c r="T38" s="632"/>
      <c r="U38" s="632"/>
      <c r="V38" s="632"/>
      <c r="W38" s="632"/>
      <c r="X38" s="633"/>
    </row>
    <row r="39" spans="1:24" s="1" customFormat="1" x14ac:dyDescent="0.2">
      <c r="A39" s="651"/>
      <c r="B39" s="394"/>
      <c r="C39" s="175"/>
      <c r="D39" s="3"/>
      <c r="E39" s="332"/>
      <c r="F39" s="3"/>
      <c r="G39" s="3"/>
      <c r="H39" s="332"/>
      <c r="I39" s="339"/>
      <c r="J39" s="641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30"/>
    </row>
    <row r="40" spans="1:24" s="345" customFormat="1" x14ac:dyDescent="0.2">
      <c r="A40" s="651"/>
      <c r="B40" s="395"/>
      <c r="C40" s="346"/>
      <c r="D40" s="303"/>
      <c r="E40" s="347"/>
      <c r="F40" s="303"/>
      <c r="G40" s="303"/>
      <c r="H40" s="347"/>
      <c r="I40" s="348"/>
      <c r="J40" s="631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3"/>
    </row>
    <row r="41" spans="1:24" s="362" customFormat="1" x14ac:dyDescent="0.2">
      <c r="A41" s="652"/>
      <c r="B41" s="396"/>
      <c r="C41" s="360"/>
      <c r="D41" s="333"/>
      <c r="E41" s="334"/>
      <c r="F41" s="333"/>
      <c r="G41" s="333"/>
      <c r="H41" s="334"/>
      <c r="I41" s="361"/>
      <c r="J41" s="656"/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7"/>
      <c r="V41" s="657"/>
      <c r="W41" s="657"/>
      <c r="X41" s="658"/>
    </row>
    <row r="42" spans="1:24" s="345" customFormat="1" x14ac:dyDescent="0.2">
      <c r="A42" s="635" t="s">
        <v>93</v>
      </c>
      <c r="B42" s="397" t="s">
        <v>94</v>
      </c>
      <c r="C42" s="350">
        <v>1</v>
      </c>
      <c r="D42" s="14"/>
      <c r="E42" s="342" t="s">
        <v>65</v>
      </c>
      <c r="F42" s="344" t="s">
        <v>72</v>
      </c>
      <c r="G42" s="344"/>
      <c r="H42" s="342"/>
      <c r="I42" s="343"/>
      <c r="J42" s="653"/>
      <c r="K42" s="654"/>
      <c r="L42" s="654"/>
      <c r="M42" s="654"/>
      <c r="N42" s="654"/>
      <c r="O42" s="654"/>
      <c r="P42" s="654"/>
      <c r="Q42" s="654"/>
      <c r="R42" s="654"/>
      <c r="S42" s="654"/>
      <c r="T42" s="654"/>
      <c r="U42" s="654"/>
      <c r="V42" s="654"/>
      <c r="W42" s="654"/>
      <c r="X42" s="655"/>
    </row>
    <row r="43" spans="1:24" s="1" customFormat="1" x14ac:dyDescent="0.2">
      <c r="A43" s="636"/>
      <c r="B43" s="394" t="s">
        <v>96</v>
      </c>
      <c r="C43" s="175"/>
      <c r="D43" s="14"/>
      <c r="E43" s="332" t="s">
        <v>65</v>
      </c>
      <c r="F43" s="3"/>
      <c r="G43" s="3"/>
      <c r="H43" s="332"/>
      <c r="I43" s="339"/>
      <c r="J43" s="641"/>
      <c r="K43" s="629"/>
      <c r="L43" s="629"/>
      <c r="M43" s="629"/>
      <c r="N43" s="629"/>
      <c r="O43" s="629"/>
      <c r="P43" s="629"/>
      <c r="Q43" s="629"/>
      <c r="R43" s="629"/>
      <c r="S43" s="629"/>
      <c r="T43" s="629"/>
      <c r="U43" s="629"/>
      <c r="V43" s="629"/>
      <c r="W43" s="629"/>
      <c r="X43" s="630"/>
    </row>
    <row r="44" spans="1:24" s="345" customFormat="1" x14ac:dyDescent="0.2">
      <c r="A44" s="636"/>
      <c r="B44" s="395" t="s">
        <v>97</v>
      </c>
      <c r="C44" s="346">
        <v>1</v>
      </c>
      <c r="D44" s="14"/>
      <c r="E44" s="347" t="s">
        <v>71</v>
      </c>
      <c r="F44" s="303"/>
      <c r="G44" s="303"/>
      <c r="H44" s="347"/>
      <c r="I44" s="348"/>
      <c r="J44" s="631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3"/>
    </row>
    <row r="45" spans="1:24" s="1" customFormat="1" x14ac:dyDescent="0.2">
      <c r="A45" s="636"/>
      <c r="B45" s="394" t="s">
        <v>98</v>
      </c>
      <c r="C45" s="175">
        <v>3</v>
      </c>
      <c r="D45" s="14"/>
      <c r="E45" s="332" t="s">
        <v>71</v>
      </c>
      <c r="F45" s="3"/>
      <c r="G45" s="3"/>
      <c r="H45" s="332"/>
      <c r="I45" s="339"/>
      <c r="J45" s="641"/>
      <c r="K45" s="629"/>
      <c r="L45" s="629"/>
      <c r="M45" s="629"/>
      <c r="N45" s="629"/>
      <c r="O45" s="629"/>
      <c r="P45" s="629"/>
      <c r="Q45" s="629"/>
      <c r="R45" s="629"/>
      <c r="S45" s="629"/>
      <c r="T45" s="629"/>
      <c r="U45" s="629"/>
      <c r="V45" s="629"/>
      <c r="W45" s="629"/>
      <c r="X45" s="630"/>
    </row>
    <row r="46" spans="1:24" s="345" customFormat="1" x14ac:dyDescent="0.2">
      <c r="A46" s="636"/>
      <c r="B46" s="395" t="s">
        <v>99</v>
      </c>
      <c r="C46" s="346">
        <v>1</v>
      </c>
      <c r="D46" s="165"/>
      <c r="E46" s="347" t="s">
        <v>71</v>
      </c>
      <c r="F46" s="303"/>
      <c r="G46" s="303"/>
      <c r="H46" s="347"/>
      <c r="I46" s="348"/>
      <c r="J46" s="631"/>
      <c r="K46" s="632"/>
      <c r="L46" s="632"/>
      <c r="M46" s="632"/>
      <c r="N46" s="632"/>
      <c r="O46" s="632"/>
      <c r="P46" s="632"/>
      <c r="Q46" s="632"/>
      <c r="R46" s="632"/>
      <c r="S46" s="632"/>
      <c r="T46" s="632"/>
      <c r="U46" s="632"/>
      <c r="V46" s="632"/>
      <c r="W46" s="632"/>
      <c r="X46" s="633"/>
    </row>
    <row r="47" spans="1:24" s="1" customFormat="1" x14ac:dyDescent="0.2">
      <c r="A47" s="636"/>
      <c r="B47" s="394" t="s">
        <v>100</v>
      </c>
      <c r="C47" s="175">
        <v>4</v>
      </c>
      <c r="D47" s="14"/>
      <c r="E47" s="332" t="s">
        <v>71</v>
      </c>
      <c r="F47" s="3"/>
      <c r="G47" s="3"/>
      <c r="H47" s="332"/>
      <c r="I47" s="339"/>
      <c r="J47" s="641"/>
      <c r="K47" s="629"/>
      <c r="L47" s="629"/>
      <c r="M47" s="629"/>
      <c r="N47" s="629"/>
      <c r="O47" s="629"/>
      <c r="P47" s="629"/>
      <c r="Q47" s="629"/>
      <c r="R47" s="629"/>
      <c r="S47" s="629"/>
      <c r="T47" s="629"/>
      <c r="U47" s="629"/>
      <c r="V47" s="629"/>
      <c r="W47" s="629"/>
      <c r="X47" s="630"/>
    </row>
    <row r="48" spans="1:24" s="345" customFormat="1" x14ac:dyDescent="0.2">
      <c r="A48" s="636"/>
      <c r="B48" s="395" t="s">
        <v>101</v>
      </c>
      <c r="C48" s="346">
        <v>6</v>
      </c>
      <c r="D48" s="158"/>
      <c r="E48" s="347" t="s">
        <v>71</v>
      </c>
      <c r="F48" s="303"/>
      <c r="G48" s="303"/>
      <c r="H48" s="347"/>
      <c r="I48" s="348"/>
      <c r="J48" s="631"/>
      <c r="K48" s="632"/>
      <c r="L48" s="632"/>
      <c r="M48" s="632"/>
      <c r="N48" s="632"/>
      <c r="O48" s="632"/>
      <c r="P48" s="632"/>
      <c r="Q48" s="632"/>
      <c r="R48" s="632"/>
      <c r="S48" s="632"/>
      <c r="T48" s="632"/>
      <c r="U48" s="632"/>
      <c r="V48" s="632"/>
      <c r="W48" s="632"/>
      <c r="X48" s="633"/>
    </row>
    <row r="49" spans="1:24" s="1" customFormat="1" x14ac:dyDescent="0.2">
      <c r="A49" s="636"/>
      <c r="B49" s="394" t="s">
        <v>102</v>
      </c>
      <c r="C49" s="175">
        <v>2</v>
      </c>
      <c r="D49" s="167"/>
      <c r="E49" s="332" t="s">
        <v>71</v>
      </c>
      <c r="F49" s="3"/>
      <c r="G49" s="3"/>
      <c r="H49" s="332"/>
      <c r="I49" s="339"/>
      <c r="J49" s="641"/>
      <c r="K49" s="629"/>
      <c r="L49" s="629"/>
      <c r="M49" s="629"/>
      <c r="N49" s="629"/>
      <c r="O49" s="629"/>
      <c r="P49" s="629"/>
      <c r="Q49" s="629"/>
      <c r="R49" s="629"/>
      <c r="S49" s="629"/>
      <c r="T49" s="629"/>
      <c r="U49" s="629"/>
      <c r="V49" s="629"/>
      <c r="W49" s="629"/>
      <c r="X49" s="630"/>
    </row>
    <row r="50" spans="1:24" s="345" customFormat="1" x14ac:dyDescent="0.2">
      <c r="A50" s="636"/>
      <c r="B50" s="395"/>
      <c r="C50" s="346"/>
      <c r="D50" s="303"/>
      <c r="E50" s="347"/>
      <c r="F50" s="303"/>
      <c r="G50" s="303"/>
      <c r="H50" s="347"/>
      <c r="I50" s="348"/>
      <c r="J50" s="631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3"/>
    </row>
    <row r="51" spans="1:24" s="362" customFormat="1" x14ac:dyDescent="0.2">
      <c r="A51" s="637"/>
      <c r="B51" s="396"/>
      <c r="C51" s="360"/>
      <c r="D51" s="333"/>
      <c r="E51" s="334"/>
      <c r="F51" s="333"/>
      <c r="G51" s="333"/>
      <c r="H51" s="334"/>
      <c r="I51" s="361"/>
      <c r="J51" s="656"/>
      <c r="K51" s="657"/>
      <c r="L51" s="657"/>
      <c r="M51" s="657"/>
      <c r="N51" s="657"/>
      <c r="O51" s="657"/>
      <c r="P51" s="657"/>
      <c r="Q51" s="657"/>
      <c r="R51" s="657"/>
      <c r="S51" s="657"/>
      <c r="T51" s="657"/>
      <c r="U51" s="657"/>
      <c r="V51" s="657"/>
      <c r="W51" s="657"/>
      <c r="X51" s="658"/>
    </row>
    <row r="52" spans="1:24" s="345" customFormat="1" x14ac:dyDescent="0.2">
      <c r="A52" s="659" t="s">
        <v>103</v>
      </c>
      <c r="B52" s="397" t="s">
        <v>104</v>
      </c>
      <c r="C52" s="350">
        <v>6</v>
      </c>
      <c r="D52" s="14"/>
      <c r="E52" s="342" t="s">
        <v>65</v>
      </c>
      <c r="F52" s="12" t="s">
        <v>105</v>
      </c>
      <c r="G52" s="344"/>
      <c r="H52" s="342"/>
      <c r="I52" s="343"/>
      <c r="J52" s="653"/>
      <c r="K52" s="654"/>
      <c r="L52" s="654"/>
      <c r="M52" s="654"/>
      <c r="N52" s="654"/>
      <c r="O52" s="654"/>
      <c r="P52" s="654"/>
      <c r="Q52" s="654"/>
      <c r="R52" s="654"/>
      <c r="S52" s="654"/>
      <c r="T52" s="654"/>
      <c r="U52" s="654"/>
      <c r="V52" s="654"/>
      <c r="W52" s="654"/>
      <c r="X52" s="655"/>
    </row>
    <row r="53" spans="1:24" s="1" customFormat="1" x14ac:dyDescent="0.2">
      <c r="A53" s="651"/>
      <c r="B53" s="394" t="s">
        <v>106</v>
      </c>
      <c r="C53" s="175">
        <v>1</v>
      </c>
      <c r="D53" s="40"/>
      <c r="E53" s="332" t="s">
        <v>71</v>
      </c>
      <c r="F53" s="61" t="s">
        <v>107</v>
      </c>
      <c r="G53" s="3"/>
      <c r="H53" s="332"/>
      <c r="I53" s="339"/>
      <c r="J53" s="641"/>
      <c r="K53" s="629"/>
      <c r="L53" s="629"/>
      <c r="M53" s="629"/>
      <c r="N53" s="629"/>
      <c r="O53" s="629"/>
      <c r="P53" s="629"/>
      <c r="Q53" s="629"/>
      <c r="R53" s="629"/>
      <c r="S53" s="629"/>
      <c r="T53" s="629"/>
      <c r="U53" s="629"/>
      <c r="V53" s="629"/>
      <c r="W53" s="629"/>
      <c r="X53" s="630"/>
    </row>
    <row r="54" spans="1:24" s="345" customFormat="1" x14ac:dyDescent="0.2">
      <c r="A54" s="651"/>
      <c r="B54" s="395" t="s">
        <v>109</v>
      </c>
      <c r="C54" s="346">
        <v>2</v>
      </c>
      <c r="D54" s="176"/>
      <c r="E54" s="347" t="s">
        <v>71</v>
      </c>
      <c r="F54" s="197" t="s">
        <v>76</v>
      </c>
      <c r="G54" s="303"/>
      <c r="H54" s="347"/>
      <c r="I54" s="348"/>
      <c r="J54" s="631"/>
      <c r="K54" s="632"/>
      <c r="L54" s="632"/>
      <c r="M54" s="632"/>
      <c r="N54" s="632"/>
      <c r="O54" s="632"/>
      <c r="P54" s="632"/>
      <c r="Q54" s="632"/>
      <c r="R54" s="632"/>
      <c r="S54" s="632"/>
      <c r="T54" s="632"/>
      <c r="U54" s="632"/>
      <c r="V54" s="632"/>
      <c r="W54" s="632"/>
      <c r="X54" s="633"/>
    </row>
    <row r="55" spans="1:24" s="1" customFormat="1" x14ac:dyDescent="0.2">
      <c r="A55" s="651"/>
      <c r="B55" s="394" t="s">
        <v>111</v>
      </c>
      <c r="C55" s="175">
        <v>3</v>
      </c>
      <c r="D55" s="14"/>
      <c r="E55" s="332" t="s">
        <v>71</v>
      </c>
      <c r="F55" s="3"/>
      <c r="G55" s="3"/>
      <c r="H55" s="332"/>
      <c r="I55" s="339"/>
      <c r="J55" s="641"/>
      <c r="K55" s="629"/>
      <c r="L55" s="629"/>
      <c r="M55" s="629"/>
      <c r="N55" s="629"/>
      <c r="O55" s="629"/>
      <c r="P55" s="629"/>
      <c r="Q55" s="629"/>
      <c r="R55" s="629"/>
      <c r="S55" s="629"/>
      <c r="T55" s="629"/>
      <c r="U55" s="629"/>
      <c r="V55" s="629"/>
      <c r="W55" s="629"/>
      <c r="X55" s="630"/>
    </row>
    <row r="56" spans="1:24" s="345" customFormat="1" x14ac:dyDescent="0.2">
      <c r="A56" s="651"/>
      <c r="B56" s="395"/>
      <c r="C56" s="346"/>
      <c r="D56" s="303"/>
      <c r="E56" s="347"/>
      <c r="F56" s="303"/>
      <c r="G56" s="303"/>
      <c r="H56" s="347"/>
      <c r="I56" s="348"/>
      <c r="J56" s="631"/>
      <c r="K56" s="632"/>
      <c r="L56" s="632"/>
      <c r="M56" s="632"/>
      <c r="N56" s="632"/>
      <c r="O56" s="632"/>
      <c r="P56" s="632"/>
      <c r="Q56" s="632"/>
      <c r="R56" s="632"/>
      <c r="S56" s="632"/>
      <c r="T56" s="632"/>
      <c r="U56" s="632"/>
      <c r="V56" s="632"/>
      <c r="W56" s="632"/>
      <c r="X56" s="633"/>
    </row>
    <row r="57" spans="1:24" s="1" customFormat="1" x14ac:dyDescent="0.2">
      <c r="A57" s="651"/>
      <c r="B57" s="394"/>
      <c r="C57" s="175"/>
      <c r="D57" s="3"/>
      <c r="E57" s="332"/>
      <c r="F57" s="3"/>
      <c r="G57" s="3"/>
      <c r="H57" s="332"/>
      <c r="I57" s="339"/>
      <c r="J57" s="641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30"/>
    </row>
    <row r="58" spans="1:24" s="345" customFormat="1" x14ac:dyDescent="0.2">
      <c r="A58" s="651"/>
      <c r="B58" s="395"/>
      <c r="C58" s="346"/>
      <c r="D58" s="303"/>
      <c r="E58" s="347"/>
      <c r="F58" s="303"/>
      <c r="G58" s="303"/>
      <c r="H58" s="347"/>
      <c r="I58" s="348"/>
      <c r="J58" s="631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3"/>
    </row>
    <row r="59" spans="1:24" s="1" customFormat="1" x14ac:dyDescent="0.2">
      <c r="A59" s="651"/>
      <c r="B59" s="394"/>
      <c r="C59" s="175"/>
      <c r="D59" s="3"/>
      <c r="E59" s="332"/>
      <c r="F59" s="3"/>
      <c r="G59" s="3"/>
      <c r="H59" s="332"/>
      <c r="I59" s="339"/>
      <c r="J59" s="641"/>
      <c r="K59" s="629"/>
      <c r="L59" s="629"/>
      <c r="M59" s="629"/>
      <c r="N59" s="629"/>
      <c r="O59" s="629"/>
      <c r="P59" s="629"/>
      <c r="Q59" s="629"/>
      <c r="R59" s="629"/>
      <c r="S59" s="629"/>
      <c r="T59" s="629"/>
      <c r="U59" s="629"/>
      <c r="V59" s="629"/>
      <c r="W59" s="629"/>
      <c r="X59" s="630"/>
    </row>
    <row r="60" spans="1:24" s="345" customFormat="1" x14ac:dyDescent="0.2">
      <c r="A60" s="651"/>
      <c r="B60" s="395"/>
      <c r="C60" s="346"/>
      <c r="D60" s="303"/>
      <c r="E60" s="347"/>
      <c r="F60" s="303"/>
      <c r="G60" s="303"/>
      <c r="H60" s="347"/>
      <c r="I60" s="348"/>
      <c r="J60" s="631"/>
      <c r="K60" s="632"/>
      <c r="L60" s="632"/>
      <c r="M60" s="632"/>
      <c r="N60" s="632"/>
      <c r="O60" s="632"/>
      <c r="P60" s="632"/>
      <c r="Q60" s="632"/>
      <c r="R60" s="632"/>
      <c r="S60" s="632"/>
      <c r="T60" s="632"/>
      <c r="U60" s="632"/>
      <c r="V60" s="632"/>
      <c r="W60" s="632"/>
      <c r="X60" s="633"/>
    </row>
    <row r="61" spans="1:24" s="362" customFormat="1" x14ac:dyDescent="0.2">
      <c r="A61" s="652"/>
      <c r="B61" s="396"/>
      <c r="C61" s="360"/>
      <c r="D61" s="333"/>
      <c r="E61" s="334"/>
      <c r="F61" s="333"/>
      <c r="G61" s="333"/>
      <c r="H61" s="334"/>
      <c r="I61" s="361"/>
      <c r="J61" s="656"/>
      <c r="K61" s="657"/>
      <c r="L61" s="657"/>
      <c r="M61" s="657"/>
      <c r="N61" s="657"/>
      <c r="O61" s="657"/>
      <c r="P61" s="657"/>
      <c r="Q61" s="657"/>
      <c r="R61" s="657"/>
      <c r="S61" s="657"/>
      <c r="T61" s="657"/>
      <c r="U61" s="657"/>
      <c r="V61" s="657"/>
      <c r="W61" s="657"/>
      <c r="X61" s="658"/>
    </row>
    <row r="62" spans="1:24" s="1" customFormat="1" x14ac:dyDescent="0.2">
      <c r="A62" s="664" t="s">
        <v>112</v>
      </c>
      <c r="B62" s="390" t="s">
        <v>113</v>
      </c>
      <c r="C62" s="299">
        <v>4</v>
      </c>
      <c r="D62" s="392"/>
      <c r="E62" s="331" t="s">
        <v>71</v>
      </c>
      <c r="F62" s="20"/>
      <c r="G62" s="20" t="s">
        <v>50</v>
      </c>
      <c r="H62" s="331"/>
      <c r="I62" s="20"/>
      <c r="J62" s="667"/>
      <c r="K62" s="668"/>
      <c r="L62" s="669"/>
      <c r="M62" s="667"/>
      <c r="N62" s="668"/>
      <c r="O62" s="669"/>
      <c r="P62" s="667"/>
      <c r="Q62" s="668"/>
      <c r="R62" s="669"/>
      <c r="S62" s="667"/>
      <c r="T62" s="668"/>
      <c r="U62" s="669"/>
      <c r="V62" s="667"/>
      <c r="W62" s="668"/>
      <c r="X62" s="670"/>
    </row>
    <row r="63" spans="1:24" s="1" customFormat="1" x14ac:dyDescent="0.2">
      <c r="A63" s="665"/>
      <c r="B63" s="394"/>
      <c r="C63" s="175"/>
      <c r="D63" s="3"/>
      <c r="E63" s="332"/>
      <c r="F63" s="3"/>
      <c r="G63" s="3"/>
      <c r="H63" s="332"/>
      <c r="I63" s="3"/>
      <c r="J63" s="660"/>
      <c r="K63" s="661"/>
      <c r="L63" s="663"/>
      <c r="M63" s="660"/>
      <c r="N63" s="661"/>
      <c r="O63" s="663"/>
      <c r="P63" s="660"/>
      <c r="Q63" s="661"/>
      <c r="R63" s="663"/>
      <c r="S63" s="660"/>
      <c r="T63" s="661"/>
      <c r="U63" s="663"/>
      <c r="V63" s="660"/>
      <c r="W63" s="661"/>
      <c r="X63" s="662"/>
    </row>
    <row r="64" spans="1:24" s="1" customFormat="1" x14ac:dyDescent="0.2">
      <c r="A64" s="665"/>
      <c r="B64" s="394"/>
      <c r="C64" s="175"/>
      <c r="D64" s="3"/>
      <c r="E64" s="332"/>
      <c r="F64" s="3"/>
      <c r="G64" s="3"/>
      <c r="H64" s="332"/>
      <c r="I64" s="3"/>
      <c r="J64" s="660"/>
      <c r="K64" s="661"/>
      <c r="L64" s="663"/>
      <c r="M64" s="660"/>
      <c r="N64" s="661"/>
      <c r="O64" s="663"/>
      <c r="P64" s="660"/>
      <c r="Q64" s="661"/>
      <c r="R64" s="663"/>
      <c r="S64" s="660"/>
      <c r="T64" s="661"/>
      <c r="U64" s="663"/>
      <c r="V64" s="660"/>
      <c r="W64" s="661"/>
      <c r="X64" s="662"/>
    </row>
    <row r="65" spans="1:24" s="1" customFormat="1" x14ac:dyDescent="0.2">
      <c r="A65" s="665"/>
      <c r="B65" s="394"/>
      <c r="C65" s="175"/>
      <c r="D65" s="3"/>
      <c r="E65" s="332"/>
      <c r="F65" s="3"/>
      <c r="G65" s="3"/>
      <c r="H65" s="332"/>
      <c r="I65" s="3"/>
      <c r="J65" s="660"/>
      <c r="K65" s="661"/>
      <c r="L65" s="663"/>
      <c r="M65" s="660"/>
      <c r="N65" s="661"/>
      <c r="O65" s="663"/>
      <c r="P65" s="660"/>
      <c r="Q65" s="661"/>
      <c r="R65" s="663"/>
      <c r="S65" s="660"/>
      <c r="T65" s="661"/>
      <c r="U65" s="663"/>
      <c r="V65" s="660"/>
      <c r="W65" s="661"/>
      <c r="X65" s="662"/>
    </row>
    <row r="66" spans="1:24" s="1" customFormat="1" x14ac:dyDescent="0.2">
      <c r="A66" s="665"/>
      <c r="B66" s="394"/>
      <c r="C66" s="175"/>
      <c r="D66" s="3"/>
      <c r="E66" s="332"/>
      <c r="F66" s="3"/>
      <c r="G66" s="3"/>
      <c r="H66" s="332"/>
      <c r="I66" s="3"/>
      <c r="J66" s="660"/>
      <c r="K66" s="661"/>
      <c r="L66" s="663"/>
      <c r="M66" s="660"/>
      <c r="N66" s="661"/>
      <c r="O66" s="663"/>
      <c r="P66" s="660"/>
      <c r="Q66" s="661"/>
      <c r="R66" s="663"/>
      <c r="S66" s="660"/>
      <c r="T66" s="661"/>
      <c r="U66" s="663"/>
      <c r="V66" s="660"/>
      <c r="W66" s="661"/>
      <c r="X66" s="662"/>
    </row>
    <row r="67" spans="1:24" s="1" customFormat="1" x14ac:dyDescent="0.2">
      <c r="A67" s="665"/>
      <c r="B67" s="394"/>
      <c r="C67" s="175"/>
      <c r="D67" s="3"/>
      <c r="E67" s="332"/>
      <c r="F67" s="3"/>
      <c r="G67" s="3"/>
      <c r="H67" s="332"/>
      <c r="I67" s="3"/>
      <c r="J67" s="660"/>
      <c r="K67" s="661"/>
      <c r="L67" s="663"/>
      <c r="M67" s="660"/>
      <c r="N67" s="661"/>
      <c r="O67" s="663"/>
      <c r="P67" s="660"/>
      <c r="Q67" s="661"/>
      <c r="R67" s="663"/>
      <c r="S67" s="660"/>
      <c r="T67" s="661"/>
      <c r="U67" s="663"/>
      <c r="V67" s="660"/>
      <c r="W67" s="661"/>
      <c r="X67" s="662"/>
    </row>
    <row r="68" spans="1:24" s="1" customFormat="1" x14ac:dyDescent="0.2">
      <c r="A68" s="665"/>
      <c r="B68" s="394"/>
      <c r="C68" s="175"/>
      <c r="D68" s="3"/>
      <c r="E68" s="332"/>
      <c r="F68" s="3"/>
      <c r="G68" s="3"/>
      <c r="H68" s="332"/>
      <c r="I68" s="3"/>
      <c r="J68" s="660"/>
      <c r="K68" s="661"/>
      <c r="L68" s="663"/>
      <c r="M68" s="660"/>
      <c r="N68" s="661"/>
      <c r="O68" s="663"/>
      <c r="P68" s="660"/>
      <c r="Q68" s="661"/>
      <c r="R68" s="663"/>
      <c r="S68" s="660"/>
      <c r="T68" s="661"/>
      <c r="U68" s="663"/>
      <c r="V68" s="660"/>
      <c r="W68" s="661"/>
      <c r="X68" s="662"/>
    </row>
    <row r="69" spans="1:24" s="1" customFormat="1" x14ac:dyDescent="0.2">
      <c r="A69" s="665"/>
      <c r="B69" s="394"/>
      <c r="C69" s="175"/>
      <c r="D69" s="3"/>
      <c r="E69" s="332"/>
      <c r="F69" s="3"/>
      <c r="G69" s="3"/>
      <c r="H69" s="332"/>
      <c r="I69" s="3"/>
      <c r="J69" s="660"/>
      <c r="K69" s="661"/>
      <c r="L69" s="663"/>
      <c r="M69" s="660"/>
      <c r="N69" s="661"/>
      <c r="O69" s="663"/>
      <c r="P69" s="660"/>
      <c r="Q69" s="661"/>
      <c r="R69" s="663"/>
      <c r="S69" s="660"/>
      <c r="T69" s="661"/>
      <c r="U69" s="663"/>
      <c r="V69" s="660"/>
      <c r="W69" s="661"/>
      <c r="X69" s="662"/>
    </row>
    <row r="70" spans="1:24" s="1" customFormat="1" x14ac:dyDescent="0.2">
      <c r="A70" s="665"/>
      <c r="B70" s="394"/>
      <c r="C70" s="175"/>
      <c r="D70" s="3"/>
      <c r="E70" s="332"/>
      <c r="F70" s="3"/>
      <c r="G70" s="3"/>
      <c r="H70" s="332"/>
      <c r="I70" s="3"/>
      <c r="J70" s="660"/>
      <c r="K70" s="661"/>
      <c r="L70" s="663"/>
      <c r="M70" s="660"/>
      <c r="N70" s="661"/>
      <c r="O70" s="663"/>
      <c r="P70" s="660"/>
      <c r="Q70" s="661"/>
      <c r="R70" s="663"/>
      <c r="S70" s="660"/>
      <c r="T70" s="661"/>
      <c r="U70" s="663"/>
      <c r="V70" s="660"/>
      <c r="W70" s="661"/>
      <c r="X70" s="662"/>
    </row>
    <row r="71" spans="1:24" s="1" customFormat="1" x14ac:dyDescent="0.2">
      <c r="A71" s="665"/>
      <c r="B71" s="394"/>
      <c r="C71" s="175"/>
      <c r="D71" s="3"/>
      <c r="E71" s="332"/>
      <c r="F71" s="3"/>
      <c r="G71" s="3"/>
      <c r="H71" s="332"/>
      <c r="I71" s="3"/>
      <c r="J71" s="660"/>
      <c r="K71" s="661"/>
      <c r="L71" s="663"/>
      <c r="M71" s="660"/>
      <c r="N71" s="661"/>
      <c r="O71" s="663"/>
      <c r="P71" s="660"/>
      <c r="Q71" s="661"/>
      <c r="R71" s="663"/>
      <c r="S71" s="660"/>
      <c r="T71" s="661"/>
      <c r="U71" s="663"/>
      <c r="V71" s="660"/>
      <c r="W71" s="661"/>
      <c r="X71" s="662"/>
    </row>
    <row r="72" spans="1:24" s="306" customFormat="1" x14ac:dyDescent="0.2">
      <c r="A72" s="666"/>
      <c r="B72" s="391"/>
      <c r="C72" s="293"/>
      <c r="D72" s="5"/>
      <c r="E72" s="340"/>
      <c r="F72" s="5"/>
      <c r="G72" s="5"/>
      <c r="H72" s="340"/>
      <c r="I72" s="5"/>
      <c r="J72" s="671"/>
      <c r="K72" s="672"/>
      <c r="L72" s="673"/>
      <c r="M72" s="671"/>
      <c r="N72" s="672"/>
      <c r="O72" s="673"/>
      <c r="P72" s="671"/>
      <c r="Q72" s="672"/>
      <c r="R72" s="673"/>
      <c r="S72" s="671"/>
      <c r="T72" s="672"/>
      <c r="U72" s="673"/>
      <c r="V72" s="671"/>
      <c r="W72" s="672"/>
      <c r="X72" s="674"/>
    </row>
    <row r="73" spans="1:24" s="345" customFormat="1" ht="15" customHeight="1" x14ac:dyDescent="0.2">
      <c r="A73" s="676" t="s">
        <v>117</v>
      </c>
      <c r="B73" s="397" t="s">
        <v>118</v>
      </c>
      <c r="C73" s="350"/>
      <c r="D73" s="216"/>
      <c r="E73" s="354" t="s">
        <v>65</v>
      </c>
      <c r="F73" s="344"/>
      <c r="G73" s="344"/>
      <c r="H73" s="342"/>
      <c r="I73" s="343"/>
      <c r="J73" s="653"/>
      <c r="K73" s="654"/>
      <c r="L73" s="654"/>
      <c r="M73" s="654"/>
      <c r="N73" s="654"/>
      <c r="O73" s="654"/>
      <c r="P73" s="654"/>
      <c r="Q73" s="654"/>
      <c r="R73" s="654"/>
      <c r="S73" s="654"/>
      <c r="T73" s="654"/>
      <c r="U73" s="654"/>
      <c r="V73" s="654"/>
      <c r="W73" s="654"/>
      <c r="X73" s="655"/>
    </row>
    <row r="74" spans="1:24" s="1" customFormat="1" x14ac:dyDescent="0.2">
      <c r="A74" s="677"/>
      <c r="B74" s="394" t="s">
        <v>119</v>
      </c>
      <c r="C74" s="175">
        <v>1</v>
      </c>
      <c r="D74" s="215"/>
      <c r="E74" s="73" t="s">
        <v>65</v>
      </c>
      <c r="F74" s="3"/>
      <c r="G74" s="3"/>
      <c r="H74" s="332"/>
      <c r="I74" s="339"/>
      <c r="J74" s="641"/>
      <c r="K74" s="629"/>
      <c r="L74" s="629"/>
      <c r="M74" s="629"/>
      <c r="N74" s="629"/>
      <c r="O74" s="629"/>
      <c r="P74" s="629"/>
      <c r="Q74" s="629"/>
      <c r="R74" s="629"/>
      <c r="S74" s="629"/>
      <c r="T74" s="629"/>
      <c r="U74" s="629"/>
      <c r="V74" s="629"/>
      <c r="W74" s="629"/>
      <c r="X74" s="630"/>
    </row>
    <row r="75" spans="1:24" s="345" customFormat="1" x14ac:dyDescent="0.2">
      <c r="A75" s="677"/>
      <c r="B75" s="395" t="s">
        <v>120</v>
      </c>
      <c r="C75" s="346">
        <v>3</v>
      </c>
      <c r="D75" s="14"/>
      <c r="E75" s="355" t="s">
        <v>65</v>
      </c>
      <c r="F75" s="303"/>
      <c r="G75" s="303"/>
      <c r="H75" s="347"/>
      <c r="I75" s="348"/>
      <c r="J75" s="631"/>
      <c r="K75" s="632"/>
      <c r="L75" s="632"/>
      <c r="M75" s="632"/>
      <c r="N75" s="632"/>
      <c r="O75" s="632"/>
      <c r="P75" s="632"/>
      <c r="Q75" s="632"/>
      <c r="R75" s="632"/>
      <c r="S75" s="632"/>
      <c r="T75" s="632"/>
      <c r="U75" s="632"/>
      <c r="V75" s="632"/>
      <c r="W75" s="632"/>
      <c r="X75" s="633"/>
    </row>
    <row r="76" spans="1:24" s="1" customFormat="1" x14ac:dyDescent="0.2">
      <c r="A76" s="677"/>
      <c r="B76" s="394" t="s">
        <v>121</v>
      </c>
      <c r="C76" s="175">
        <v>1</v>
      </c>
      <c r="D76" s="215"/>
      <c r="E76" s="73" t="s">
        <v>65</v>
      </c>
      <c r="F76" s="3" t="s">
        <v>122</v>
      </c>
      <c r="G76" s="3"/>
      <c r="H76" s="332"/>
      <c r="I76" s="339"/>
      <c r="J76" s="641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30"/>
    </row>
    <row r="77" spans="1:24" s="345" customFormat="1" x14ac:dyDescent="0.2">
      <c r="A77" s="677"/>
      <c r="B77" s="395" t="s">
        <v>123</v>
      </c>
      <c r="C77" s="346">
        <v>5</v>
      </c>
      <c r="D77" s="215"/>
      <c r="E77" s="355" t="s">
        <v>71</v>
      </c>
      <c r="F77" s="303"/>
      <c r="G77" s="303"/>
      <c r="H77" s="347"/>
      <c r="I77" s="348"/>
      <c r="J77" s="631"/>
      <c r="K77" s="632"/>
      <c r="L77" s="632"/>
      <c r="M77" s="632"/>
      <c r="N77" s="632"/>
      <c r="O77" s="632"/>
      <c r="P77" s="632"/>
      <c r="Q77" s="632"/>
      <c r="R77" s="632"/>
      <c r="S77" s="632"/>
      <c r="T77" s="632"/>
      <c r="U77" s="632"/>
      <c r="V77" s="632"/>
      <c r="W77" s="632"/>
      <c r="X77" s="633"/>
    </row>
    <row r="78" spans="1:24" s="1" customFormat="1" x14ac:dyDescent="0.2">
      <c r="A78" s="677"/>
      <c r="B78" s="394" t="s">
        <v>124</v>
      </c>
      <c r="C78" s="175">
        <v>4</v>
      </c>
      <c r="D78" s="215"/>
      <c r="E78" s="70" t="s">
        <v>65</v>
      </c>
      <c r="F78" s="3"/>
      <c r="G78" s="3"/>
      <c r="H78" s="332"/>
      <c r="I78" s="339"/>
      <c r="J78" s="641"/>
      <c r="K78" s="629"/>
      <c r="L78" s="629"/>
      <c r="M78" s="629"/>
      <c r="N78" s="629"/>
      <c r="O78" s="629"/>
      <c r="P78" s="629"/>
      <c r="Q78" s="629"/>
      <c r="R78" s="629"/>
      <c r="S78" s="629"/>
      <c r="T78" s="629"/>
      <c r="U78" s="629"/>
      <c r="V78" s="629"/>
      <c r="W78" s="629"/>
      <c r="X78" s="630"/>
    </row>
    <row r="79" spans="1:24" s="345" customFormat="1" x14ac:dyDescent="0.2">
      <c r="A79" s="677"/>
      <c r="B79" s="395"/>
      <c r="C79" s="346"/>
      <c r="D79" s="303"/>
      <c r="E79" s="347"/>
      <c r="F79" s="303"/>
      <c r="G79" s="303"/>
      <c r="H79" s="347"/>
      <c r="I79" s="348"/>
      <c r="J79" s="631"/>
      <c r="K79" s="632"/>
      <c r="L79" s="632"/>
      <c r="M79" s="632"/>
      <c r="N79" s="632"/>
      <c r="O79" s="632"/>
      <c r="P79" s="632"/>
      <c r="Q79" s="632"/>
      <c r="R79" s="632"/>
      <c r="S79" s="632"/>
      <c r="T79" s="632"/>
      <c r="U79" s="632"/>
      <c r="V79" s="632"/>
      <c r="W79" s="632"/>
      <c r="X79" s="633"/>
    </row>
    <row r="80" spans="1:24" s="1" customFormat="1" x14ac:dyDescent="0.2">
      <c r="A80" s="677"/>
      <c r="B80" s="394"/>
      <c r="C80" s="175"/>
      <c r="D80" s="3"/>
      <c r="E80" s="332"/>
      <c r="F80" s="3"/>
      <c r="G80" s="3"/>
      <c r="H80" s="332"/>
      <c r="I80" s="339"/>
      <c r="J80" s="641"/>
      <c r="K80" s="629"/>
      <c r="L80" s="629"/>
      <c r="M80" s="629"/>
      <c r="N80" s="629"/>
      <c r="O80" s="629"/>
      <c r="P80" s="629"/>
      <c r="Q80" s="629"/>
      <c r="R80" s="629"/>
      <c r="S80" s="629"/>
      <c r="T80" s="629"/>
      <c r="U80" s="629"/>
      <c r="V80" s="629"/>
      <c r="W80" s="629"/>
      <c r="X80" s="630"/>
    </row>
    <row r="81" spans="1:41" s="345" customFormat="1" x14ac:dyDescent="0.2">
      <c r="A81" s="677"/>
      <c r="B81" s="395"/>
      <c r="C81" s="346"/>
      <c r="D81" s="303"/>
      <c r="E81" s="347"/>
      <c r="F81" s="303"/>
      <c r="G81" s="303"/>
      <c r="H81" s="347"/>
      <c r="I81" s="348"/>
      <c r="J81" s="631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3"/>
    </row>
    <row r="82" spans="1:41" s="362" customFormat="1" x14ac:dyDescent="0.2">
      <c r="A82" s="678"/>
      <c r="B82" s="396"/>
      <c r="C82" s="360"/>
      <c r="D82" s="333"/>
      <c r="E82" s="334"/>
      <c r="F82" s="333"/>
      <c r="G82" s="333"/>
      <c r="H82" s="334"/>
      <c r="I82" s="361"/>
      <c r="J82" s="656"/>
      <c r="K82" s="657"/>
      <c r="L82" s="657"/>
      <c r="M82" s="657"/>
      <c r="N82" s="657"/>
      <c r="O82" s="657"/>
      <c r="P82" s="657"/>
      <c r="Q82" s="657"/>
      <c r="R82" s="657"/>
      <c r="S82" s="679"/>
      <c r="T82" s="679"/>
      <c r="U82" s="679"/>
      <c r="V82" s="657"/>
      <c r="W82" s="657"/>
      <c r="X82" s="658"/>
    </row>
    <row r="83" spans="1:41" s="345" customFormat="1" ht="15" customHeight="1" x14ac:dyDescent="0.2">
      <c r="A83" s="680" t="s">
        <v>125</v>
      </c>
      <c r="B83" s="397"/>
      <c r="C83" s="350"/>
      <c r="D83" s="344"/>
      <c r="E83" s="342"/>
      <c r="F83" s="344"/>
      <c r="G83" s="344"/>
      <c r="H83" s="342"/>
      <c r="I83" s="343"/>
      <c r="J83" s="653"/>
      <c r="K83" s="654"/>
      <c r="L83" s="654"/>
      <c r="M83" s="654"/>
      <c r="N83" s="654"/>
      <c r="O83" s="654"/>
      <c r="P83" s="654"/>
      <c r="Q83" s="654"/>
      <c r="R83" s="654"/>
      <c r="S83" s="675"/>
      <c r="T83" s="675"/>
      <c r="U83" s="675"/>
      <c r="V83" s="654"/>
      <c r="W83" s="654"/>
      <c r="X83" s="655"/>
    </row>
    <row r="84" spans="1:41" s="1" customFormat="1" ht="15" customHeight="1" x14ac:dyDescent="0.2">
      <c r="A84" s="681"/>
      <c r="B84" s="394"/>
      <c r="C84" s="175"/>
      <c r="D84" s="3"/>
      <c r="E84" s="332"/>
      <c r="F84" s="3"/>
      <c r="G84" s="3"/>
      <c r="H84" s="332"/>
      <c r="I84" s="339"/>
      <c r="J84" s="641"/>
      <c r="K84" s="629"/>
      <c r="L84" s="629"/>
      <c r="M84" s="629"/>
      <c r="N84" s="629"/>
      <c r="O84" s="629"/>
      <c r="P84" s="629"/>
      <c r="Q84" s="629"/>
      <c r="R84" s="629"/>
      <c r="S84" s="629"/>
      <c r="T84" s="629"/>
      <c r="U84" s="629"/>
      <c r="V84" s="629"/>
      <c r="W84" s="629"/>
      <c r="X84" s="630"/>
    </row>
    <row r="85" spans="1:41" s="345" customFormat="1" ht="15" customHeight="1" x14ac:dyDescent="0.2">
      <c r="A85" s="681"/>
      <c r="B85" s="395"/>
      <c r="C85" s="346"/>
      <c r="D85" s="303"/>
      <c r="E85" s="347"/>
      <c r="F85" s="303"/>
      <c r="G85" s="303"/>
      <c r="H85" s="347"/>
      <c r="I85" s="348"/>
      <c r="J85" s="631"/>
      <c r="K85" s="632"/>
      <c r="L85" s="632"/>
      <c r="M85" s="632"/>
      <c r="N85" s="632"/>
      <c r="O85" s="632"/>
      <c r="P85" s="632"/>
      <c r="Q85" s="632"/>
      <c r="R85" s="632"/>
      <c r="S85" s="632"/>
      <c r="T85" s="632"/>
      <c r="U85" s="632"/>
      <c r="V85" s="632"/>
      <c r="W85" s="632"/>
      <c r="X85" s="633"/>
    </row>
    <row r="86" spans="1:41" s="1" customFormat="1" ht="15" customHeight="1" x14ac:dyDescent="0.2">
      <c r="A86" s="681"/>
      <c r="B86" s="394"/>
      <c r="C86" s="175"/>
      <c r="D86" s="3"/>
      <c r="E86" s="332"/>
      <c r="F86" s="3"/>
      <c r="G86" s="3"/>
      <c r="H86" s="332"/>
      <c r="I86" s="339"/>
      <c r="J86" s="641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30"/>
    </row>
    <row r="87" spans="1:41" s="345" customFormat="1" ht="15" customHeight="1" x14ac:dyDescent="0.2">
      <c r="A87" s="681"/>
      <c r="B87" s="395"/>
      <c r="C87" s="346"/>
      <c r="D87" s="303"/>
      <c r="E87" s="347"/>
      <c r="F87" s="303"/>
      <c r="G87" s="303"/>
      <c r="H87" s="347"/>
      <c r="I87" s="348"/>
      <c r="J87" s="631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3"/>
    </row>
    <row r="88" spans="1:41" s="1" customFormat="1" ht="15" customHeight="1" x14ac:dyDescent="0.2">
      <c r="A88" s="681"/>
      <c r="B88" s="394"/>
      <c r="C88" s="175"/>
      <c r="D88" s="3"/>
      <c r="E88" s="332"/>
      <c r="F88" s="3"/>
      <c r="G88" s="3"/>
      <c r="H88" s="332"/>
      <c r="I88" s="339"/>
      <c r="J88" s="641"/>
      <c r="K88" s="629"/>
      <c r="L88" s="629"/>
      <c r="M88" s="629"/>
      <c r="N88" s="629"/>
      <c r="O88" s="629"/>
      <c r="P88" s="629"/>
      <c r="Q88" s="629"/>
      <c r="R88" s="629"/>
      <c r="S88" s="629"/>
      <c r="T88" s="629"/>
      <c r="U88" s="629"/>
      <c r="V88" s="629"/>
      <c r="W88" s="629"/>
      <c r="X88" s="630"/>
    </row>
    <row r="89" spans="1:41" s="345" customFormat="1" ht="15" customHeight="1" x14ac:dyDescent="0.2">
      <c r="A89" s="681"/>
      <c r="B89" s="395"/>
      <c r="C89" s="346"/>
      <c r="D89" s="303"/>
      <c r="E89" s="347"/>
      <c r="F89" s="303"/>
      <c r="G89" s="303"/>
      <c r="H89" s="347"/>
      <c r="I89" s="348"/>
      <c r="J89" s="631"/>
      <c r="K89" s="632"/>
      <c r="L89" s="632"/>
      <c r="M89" s="632"/>
      <c r="N89" s="632"/>
      <c r="O89" s="632"/>
      <c r="P89" s="632"/>
      <c r="Q89" s="632"/>
      <c r="R89" s="632"/>
      <c r="S89" s="632"/>
      <c r="T89" s="632"/>
      <c r="U89" s="632"/>
      <c r="V89" s="632"/>
      <c r="W89" s="632"/>
      <c r="X89" s="633"/>
    </row>
    <row r="90" spans="1:41" s="1" customFormat="1" ht="15" customHeight="1" x14ac:dyDescent="0.2">
      <c r="A90" s="681"/>
      <c r="B90" s="394"/>
      <c r="C90" s="175"/>
      <c r="D90" s="3"/>
      <c r="E90" s="332"/>
      <c r="F90" s="3"/>
      <c r="G90" s="3"/>
      <c r="H90" s="332"/>
      <c r="I90" s="339"/>
      <c r="J90" s="641"/>
      <c r="K90" s="629"/>
      <c r="L90" s="629"/>
      <c r="M90" s="629"/>
      <c r="N90" s="629"/>
      <c r="O90" s="629"/>
      <c r="P90" s="629"/>
      <c r="Q90" s="629"/>
      <c r="R90" s="629"/>
      <c r="S90" s="629"/>
      <c r="T90" s="629"/>
      <c r="U90" s="629"/>
      <c r="V90" s="629"/>
      <c r="W90" s="629"/>
      <c r="X90" s="630"/>
    </row>
    <row r="91" spans="1:41" s="345" customFormat="1" ht="15" customHeight="1" x14ac:dyDescent="0.2">
      <c r="A91" s="681"/>
      <c r="B91" s="395"/>
      <c r="C91" s="346"/>
      <c r="D91" s="303"/>
      <c r="E91" s="347"/>
      <c r="F91" s="303"/>
      <c r="G91" s="303"/>
      <c r="H91" s="347"/>
      <c r="I91" s="348"/>
      <c r="J91" s="631"/>
      <c r="K91" s="632"/>
      <c r="L91" s="632"/>
      <c r="M91" s="632"/>
      <c r="N91" s="632"/>
      <c r="O91" s="632"/>
      <c r="P91" s="632"/>
      <c r="Q91" s="632"/>
      <c r="R91" s="632"/>
      <c r="S91" s="632"/>
      <c r="T91" s="632"/>
      <c r="U91" s="632"/>
      <c r="V91" s="632"/>
      <c r="W91" s="632"/>
      <c r="X91" s="633"/>
    </row>
    <row r="92" spans="1:41" s="362" customFormat="1" x14ac:dyDescent="0.2">
      <c r="A92" s="682"/>
      <c r="B92" s="396"/>
      <c r="C92" s="360"/>
      <c r="D92" s="333"/>
      <c r="E92" s="334"/>
      <c r="F92" s="333"/>
      <c r="G92" s="333"/>
      <c r="H92" s="334"/>
      <c r="I92" s="361"/>
      <c r="J92" s="656"/>
      <c r="K92" s="657"/>
      <c r="L92" s="657"/>
      <c r="M92" s="657"/>
      <c r="N92" s="657"/>
      <c r="O92" s="657"/>
      <c r="P92" s="657"/>
      <c r="Q92" s="657"/>
      <c r="R92" s="657"/>
      <c r="S92" s="657"/>
      <c r="T92" s="657"/>
      <c r="U92" s="657"/>
      <c r="V92" s="657"/>
      <c r="W92" s="657"/>
      <c r="X92" s="658"/>
    </row>
    <row r="93" spans="1:41" s="352" customFormat="1" x14ac:dyDescent="0.2">
      <c r="A93" s="683" t="s">
        <v>126</v>
      </c>
      <c r="B93" s="349" t="s">
        <v>127</v>
      </c>
      <c r="C93" s="350">
        <v>6</v>
      </c>
      <c r="D93" s="165"/>
      <c r="E93" s="388" t="s">
        <v>65</v>
      </c>
      <c r="F93" s="344"/>
      <c r="G93" s="344"/>
      <c r="H93" s="342">
        <v>2</v>
      </c>
      <c r="I93" s="343"/>
      <c r="J93" s="653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5"/>
      <c r="Y93" s="345"/>
      <c r="Z93" s="345"/>
      <c r="AA93" s="345"/>
      <c r="AB93" s="345"/>
      <c r="AC93" s="345"/>
      <c r="AD93" s="345"/>
      <c r="AE93" s="345"/>
      <c r="AF93" s="345"/>
      <c r="AG93" s="345"/>
      <c r="AH93" s="345"/>
      <c r="AI93" s="345"/>
      <c r="AJ93" s="345"/>
      <c r="AK93" s="345"/>
      <c r="AL93" s="345"/>
      <c r="AM93" s="345"/>
      <c r="AN93" s="345"/>
      <c r="AO93" s="345"/>
    </row>
    <row r="94" spans="1:41" x14ac:dyDescent="0.2">
      <c r="A94" s="684"/>
      <c r="B94" s="336" t="s">
        <v>128</v>
      </c>
      <c r="C94" s="175">
        <v>4</v>
      </c>
      <c r="D94" s="14"/>
      <c r="E94" s="389" t="s">
        <v>65</v>
      </c>
      <c r="F94" s="3" t="s">
        <v>72</v>
      </c>
      <c r="G94" s="3"/>
      <c r="H94" s="332">
        <v>2</v>
      </c>
      <c r="I94" s="339"/>
      <c r="J94" s="641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30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s="352" customFormat="1" x14ac:dyDescent="0.2">
      <c r="A95" s="684"/>
      <c r="B95" s="351" t="s">
        <v>129</v>
      </c>
      <c r="C95" s="346">
        <v>3</v>
      </c>
      <c r="D95" s="14"/>
      <c r="E95" s="389" t="s">
        <v>71</v>
      </c>
      <c r="F95" s="303" t="s">
        <v>130</v>
      </c>
      <c r="G95" s="303"/>
      <c r="H95" s="347">
        <v>2</v>
      </c>
      <c r="I95" s="348"/>
      <c r="J95" s="631"/>
      <c r="K95" s="632"/>
      <c r="L95" s="632"/>
      <c r="M95" s="632"/>
      <c r="N95" s="632"/>
      <c r="O95" s="632"/>
      <c r="P95" s="632"/>
      <c r="Q95" s="632"/>
      <c r="R95" s="632"/>
      <c r="S95" s="632"/>
      <c r="T95" s="632"/>
      <c r="U95" s="632"/>
      <c r="V95" s="632"/>
      <c r="W95" s="632"/>
      <c r="X95" s="633"/>
      <c r="Y95" s="345"/>
      <c r="Z95" s="345"/>
      <c r="AA95" s="345"/>
      <c r="AB95" s="345"/>
      <c r="AC95" s="345"/>
      <c r="AD95" s="345"/>
      <c r="AE95" s="345"/>
      <c r="AF95" s="345"/>
      <c r="AG95" s="345"/>
      <c r="AH95" s="345"/>
      <c r="AI95" s="345"/>
      <c r="AJ95" s="345"/>
      <c r="AK95" s="345"/>
      <c r="AL95" s="345"/>
      <c r="AM95" s="345"/>
      <c r="AN95" s="345"/>
      <c r="AO95" s="345"/>
    </row>
    <row r="96" spans="1:41" ht="15" customHeight="1" x14ac:dyDescent="0.2">
      <c r="A96" s="684"/>
      <c r="B96" s="337" t="s">
        <v>131</v>
      </c>
      <c r="C96" s="175">
        <v>6</v>
      </c>
      <c r="D96" s="14"/>
      <c r="E96" s="389" t="s">
        <v>71</v>
      </c>
      <c r="F96" s="3" t="s">
        <v>72</v>
      </c>
      <c r="G96" s="3"/>
      <c r="H96" s="332">
        <v>2</v>
      </c>
      <c r="I96" s="339"/>
      <c r="J96" s="641"/>
      <c r="K96" s="629"/>
      <c r="L96" s="629"/>
      <c r="M96" s="629"/>
      <c r="N96" s="629"/>
      <c r="O96" s="629"/>
      <c r="P96" s="629"/>
      <c r="Q96" s="629"/>
      <c r="R96" s="629"/>
      <c r="S96" s="629"/>
      <c r="T96" s="629"/>
      <c r="U96" s="629"/>
      <c r="V96" s="629"/>
      <c r="W96" s="629"/>
      <c r="X96" s="630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s="352" customFormat="1" x14ac:dyDescent="0.2">
      <c r="A97" s="684"/>
      <c r="B97" s="353" t="s">
        <v>132</v>
      </c>
      <c r="C97" s="346">
        <v>5</v>
      </c>
      <c r="D97" s="14"/>
      <c r="E97" s="389" t="s">
        <v>71</v>
      </c>
      <c r="F97" s="303"/>
      <c r="G97" s="303"/>
      <c r="H97" s="347">
        <v>2</v>
      </c>
      <c r="I97" s="348"/>
      <c r="J97" s="631"/>
      <c r="K97" s="632"/>
      <c r="L97" s="632"/>
      <c r="M97" s="632"/>
      <c r="N97" s="632"/>
      <c r="O97" s="632"/>
      <c r="P97" s="632"/>
      <c r="Q97" s="632"/>
      <c r="R97" s="632"/>
      <c r="S97" s="632"/>
      <c r="T97" s="632"/>
      <c r="U97" s="632"/>
      <c r="V97" s="632"/>
      <c r="W97" s="632"/>
      <c r="X97" s="633"/>
      <c r="Y97" s="345"/>
      <c r="Z97" s="345"/>
      <c r="AA97" s="345"/>
      <c r="AB97" s="345"/>
      <c r="AC97" s="345"/>
      <c r="AD97" s="345"/>
      <c r="AE97" s="345"/>
      <c r="AF97" s="345"/>
      <c r="AG97" s="345"/>
      <c r="AH97" s="345"/>
      <c r="AI97" s="345"/>
      <c r="AJ97" s="345"/>
      <c r="AK97" s="345"/>
      <c r="AL97" s="345"/>
      <c r="AM97" s="345"/>
      <c r="AN97" s="345"/>
      <c r="AO97" s="345"/>
    </row>
    <row r="98" spans="1:41" x14ac:dyDescent="0.2">
      <c r="A98" s="684"/>
      <c r="B98" s="336" t="s">
        <v>133</v>
      </c>
      <c r="C98" s="175">
        <v>2</v>
      </c>
      <c r="D98" s="14"/>
      <c r="E98" s="389" t="s">
        <v>71</v>
      </c>
      <c r="F98" s="3"/>
      <c r="G98" s="3"/>
      <c r="H98" s="332">
        <v>2</v>
      </c>
      <c r="I98" s="339"/>
      <c r="J98" s="641"/>
      <c r="K98" s="629"/>
      <c r="L98" s="629"/>
      <c r="M98" s="629"/>
      <c r="N98" s="629"/>
      <c r="O98" s="629"/>
      <c r="P98" s="629"/>
      <c r="Q98" s="629"/>
      <c r="R98" s="629"/>
      <c r="S98" s="629"/>
      <c r="T98" s="629"/>
      <c r="U98" s="629"/>
      <c r="V98" s="629"/>
      <c r="W98" s="629"/>
      <c r="X98" s="630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s="352" customFormat="1" x14ac:dyDescent="0.2">
      <c r="A99" s="684"/>
      <c r="B99" s="351"/>
      <c r="C99" s="346"/>
      <c r="D99" s="303"/>
      <c r="E99" s="347"/>
      <c r="F99" s="303"/>
      <c r="G99" s="303"/>
      <c r="H99" s="347"/>
      <c r="I99" s="348"/>
      <c r="J99" s="631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3"/>
      <c r="Y99" s="345"/>
      <c r="Z99" s="345"/>
      <c r="AA99" s="345"/>
      <c r="AB99" s="345"/>
      <c r="AC99" s="345"/>
      <c r="AD99" s="345"/>
      <c r="AE99" s="345"/>
      <c r="AF99" s="345"/>
      <c r="AG99" s="345"/>
      <c r="AH99" s="345"/>
      <c r="AI99" s="345"/>
      <c r="AJ99" s="345"/>
      <c r="AK99" s="345"/>
      <c r="AL99" s="345"/>
      <c r="AM99" s="345"/>
      <c r="AN99" s="345"/>
      <c r="AO99" s="345"/>
    </row>
    <row r="100" spans="1:41" x14ac:dyDescent="0.2">
      <c r="A100" s="684"/>
      <c r="B100" s="2"/>
      <c r="C100" s="175"/>
      <c r="D100" s="3"/>
      <c r="E100" s="332"/>
      <c r="F100" s="3"/>
      <c r="G100" s="3"/>
      <c r="H100" s="332"/>
      <c r="I100" s="339"/>
      <c r="J100" s="641"/>
      <c r="K100" s="629"/>
      <c r="L100" s="629"/>
      <c r="M100" s="629"/>
      <c r="N100" s="629"/>
      <c r="O100" s="629"/>
      <c r="P100" s="629"/>
      <c r="Q100" s="629"/>
      <c r="R100" s="629"/>
      <c r="S100" s="629"/>
      <c r="T100" s="629"/>
      <c r="U100" s="629"/>
      <c r="V100" s="629"/>
      <c r="W100" s="629"/>
      <c r="X100" s="630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s="352" customFormat="1" x14ac:dyDescent="0.2">
      <c r="A101" s="684"/>
      <c r="B101" s="351"/>
      <c r="C101" s="346"/>
      <c r="D101" s="303"/>
      <c r="E101" s="347"/>
      <c r="F101" s="303"/>
      <c r="G101" s="303"/>
      <c r="H101" s="347"/>
      <c r="I101" s="348"/>
      <c r="J101" s="631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3"/>
      <c r="Y101" s="345"/>
      <c r="Z101" s="345"/>
      <c r="AA101" s="345"/>
      <c r="AB101" s="345"/>
      <c r="AC101" s="345"/>
      <c r="AD101" s="345"/>
      <c r="AE101" s="345"/>
      <c r="AF101" s="345"/>
      <c r="AG101" s="345"/>
      <c r="AH101" s="345"/>
      <c r="AI101" s="345"/>
      <c r="AJ101" s="345"/>
      <c r="AK101" s="345"/>
      <c r="AL101" s="345"/>
      <c r="AM101" s="345"/>
      <c r="AN101" s="345"/>
      <c r="AO101" s="345"/>
    </row>
    <row r="102" spans="1:41" x14ac:dyDescent="0.2">
      <c r="A102" s="685"/>
      <c r="B102" s="338"/>
      <c r="C102" s="360"/>
      <c r="D102" s="333"/>
      <c r="E102" s="334"/>
      <c r="F102" s="333"/>
      <c r="G102" s="333"/>
      <c r="H102" s="334"/>
      <c r="I102" s="361"/>
      <c r="J102" s="656"/>
      <c r="K102" s="657"/>
      <c r="L102" s="657"/>
      <c r="M102" s="657"/>
      <c r="N102" s="657"/>
      <c r="O102" s="657"/>
      <c r="P102" s="657"/>
      <c r="Q102" s="657"/>
      <c r="R102" s="657"/>
      <c r="S102" s="657"/>
      <c r="T102" s="657"/>
      <c r="U102" s="657"/>
      <c r="V102" s="657"/>
      <c r="W102" s="657"/>
      <c r="X102" s="658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x14ac:dyDescent="0.2">
      <c r="A103" s="305"/>
      <c r="B103" s="1"/>
      <c r="C103" s="1"/>
      <c r="D103" s="1"/>
      <c r="E103" s="1"/>
      <c r="F103" s="1"/>
      <c r="G103" s="1"/>
      <c r="H103" s="32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idden="1" x14ac:dyDescent="0.2">
      <c r="A104" s="77"/>
    </row>
    <row r="105" spans="1:41" hidden="1" x14ac:dyDescent="0.2">
      <c r="A105" s="77"/>
    </row>
    <row r="106" spans="1:41" hidden="1" x14ac:dyDescent="0.2">
      <c r="A106" s="77"/>
    </row>
    <row r="107" spans="1:41" hidden="1" x14ac:dyDescent="0.2">
      <c r="A107" s="77"/>
    </row>
    <row r="108" spans="1:41" hidden="1" x14ac:dyDescent="0.2">
      <c r="A108" s="77"/>
    </row>
    <row r="109" spans="1:41" hidden="1" x14ac:dyDescent="0.2">
      <c r="A109" s="77"/>
    </row>
    <row r="110" spans="1:41" hidden="1" x14ac:dyDescent="0.2">
      <c r="A110" s="77"/>
    </row>
    <row r="111" spans="1:41" hidden="1" x14ac:dyDescent="0.2">
      <c r="A111" s="77"/>
    </row>
    <row r="112" spans="1:41" hidden="1" x14ac:dyDescent="0.2">
      <c r="A112" s="77"/>
    </row>
    <row r="113" spans="1:1" hidden="1" x14ac:dyDescent="0.2">
      <c r="A113" s="77"/>
    </row>
    <row r="114" spans="1:1" hidden="1" x14ac:dyDescent="0.2">
      <c r="A114" s="77"/>
    </row>
    <row r="115" spans="1:1" hidden="1" x14ac:dyDescent="0.2">
      <c r="A115" s="77"/>
    </row>
    <row r="116" spans="1:1" hidden="1" x14ac:dyDescent="0.2">
      <c r="A116" s="77"/>
    </row>
    <row r="117" spans="1:1" hidden="1" x14ac:dyDescent="0.2">
      <c r="A117" s="77"/>
    </row>
    <row r="118" spans="1:1" hidden="1" x14ac:dyDescent="0.2">
      <c r="A118" s="77"/>
    </row>
    <row r="119" spans="1:1" hidden="1" x14ac:dyDescent="0.2">
      <c r="A119" s="77"/>
    </row>
    <row r="120" spans="1:1" hidden="1" x14ac:dyDescent="0.2">
      <c r="A120" s="77"/>
    </row>
    <row r="121" spans="1:1" hidden="1" x14ac:dyDescent="0.2">
      <c r="A121" s="77"/>
    </row>
    <row r="122" spans="1:1" hidden="1" x14ac:dyDescent="0.2">
      <c r="A122" s="77"/>
    </row>
    <row r="123" spans="1:1" hidden="1" x14ac:dyDescent="0.2">
      <c r="A123" s="77"/>
    </row>
    <row r="124" spans="1:1" hidden="1" x14ac:dyDescent="0.2">
      <c r="A124" s="77"/>
    </row>
    <row r="125" spans="1:1" hidden="1" x14ac:dyDescent="0.2">
      <c r="A125" s="77"/>
    </row>
    <row r="126" spans="1:1" hidden="1" x14ac:dyDescent="0.2">
      <c r="A126" s="77"/>
    </row>
    <row r="127" spans="1:1" hidden="1" x14ac:dyDescent="0.2">
      <c r="A127" s="77"/>
    </row>
    <row r="128" spans="1:1" hidden="1" x14ac:dyDescent="0.2">
      <c r="A128" s="77"/>
    </row>
    <row r="129" spans="1:1" hidden="1" x14ac:dyDescent="0.2">
      <c r="A129" s="77"/>
    </row>
    <row r="130" spans="1:1" hidden="1" x14ac:dyDescent="0.2">
      <c r="A130" s="77"/>
    </row>
    <row r="131" spans="1:1" hidden="1" x14ac:dyDescent="0.2">
      <c r="A131" s="77"/>
    </row>
    <row r="132" spans="1:1" hidden="1" x14ac:dyDescent="0.2">
      <c r="A132" s="77"/>
    </row>
    <row r="133" spans="1:1" hidden="1" x14ac:dyDescent="0.2">
      <c r="A133" s="77"/>
    </row>
    <row r="134" spans="1:1" hidden="1" x14ac:dyDescent="0.2">
      <c r="A134" s="77"/>
    </row>
    <row r="135" spans="1:1" hidden="1" x14ac:dyDescent="0.2">
      <c r="A135" s="77"/>
    </row>
    <row r="136" spans="1:1" hidden="1" x14ac:dyDescent="0.2">
      <c r="A136" s="77"/>
    </row>
    <row r="137" spans="1:1" hidden="1" x14ac:dyDescent="0.2">
      <c r="A137" s="77"/>
    </row>
    <row r="138" spans="1:1" hidden="1" x14ac:dyDescent="0.2">
      <c r="A138" s="77"/>
    </row>
    <row r="139" spans="1:1" hidden="1" x14ac:dyDescent="0.2">
      <c r="A139" s="77"/>
    </row>
    <row r="140" spans="1:1" hidden="1" x14ac:dyDescent="0.2">
      <c r="A140" s="77"/>
    </row>
    <row r="141" spans="1:1" hidden="1" x14ac:dyDescent="0.2">
      <c r="A141" s="77"/>
    </row>
    <row r="142" spans="1:1" hidden="1" x14ac:dyDescent="0.2">
      <c r="A142" s="77"/>
    </row>
    <row r="143" spans="1:1" hidden="1" x14ac:dyDescent="0.2">
      <c r="A143" s="77"/>
    </row>
    <row r="144" spans="1:1" hidden="1" x14ac:dyDescent="0.2">
      <c r="A144" s="77"/>
    </row>
    <row r="145" spans="1:1" hidden="1" x14ac:dyDescent="0.2">
      <c r="A145" s="77"/>
    </row>
    <row r="146" spans="1:1" hidden="1" x14ac:dyDescent="0.2">
      <c r="A146" s="77"/>
    </row>
    <row r="147" spans="1:1" hidden="1" x14ac:dyDescent="0.2">
      <c r="A147" s="77"/>
    </row>
    <row r="148" spans="1:1" hidden="1" x14ac:dyDescent="0.2">
      <c r="A148" s="77"/>
    </row>
    <row r="149" spans="1:1" hidden="1" x14ac:dyDescent="0.2">
      <c r="A149" s="77"/>
    </row>
    <row r="150" spans="1:1" hidden="1" x14ac:dyDescent="0.2">
      <c r="A150" s="77"/>
    </row>
    <row r="151" spans="1:1" hidden="1" x14ac:dyDescent="0.2">
      <c r="A151" s="77"/>
    </row>
    <row r="152" spans="1:1" hidden="1" x14ac:dyDescent="0.2">
      <c r="A152" s="77"/>
    </row>
    <row r="153" spans="1:1" hidden="1" x14ac:dyDescent="0.2">
      <c r="A153" s="77"/>
    </row>
    <row r="154" spans="1:1" hidden="1" x14ac:dyDescent="0.2">
      <c r="A154" s="77"/>
    </row>
    <row r="155" spans="1:1" hidden="1" x14ac:dyDescent="0.2">
      <c r="A155" s="77"/>
    </row>
    <row r="156" spans="1:1" hidden="1" x14ac:dyDescent="0.2">
      <c r="A156" s="77"/>
    </row>
    <row r="157" spans="1:1" hidden="1" x14ac:dyDescent="0.2">
      <c r="A157" s="77"/>
    </row>
    <row r="158" spans="1:1" hidden="1" x14ac:dyDescent="0.2">
      <c r="A158" s="77"/>
    </row>
    <row r="159" spans="1:1" hidden="1" x14ac:dyDescent="0.2">
      <c r="A159" s="77"/>
    </row>
    <row r="160" spans="1:1" hidden="1" x14ac:dyDescent="0.2">
      <c r="A160" s="77"/>
    </row>
    <row r="161" spans="1:1" hidden="1" x14ac:dyDescent="0.2">
      <c r="A161" s="77"/>
    </row>
    <row r="162" spans="1:1" hidden="1" x14ac:dyDescent="0.2">
      <c r="A162" s="77"/>
    </row>
    <row r="163" spans="1:1" hidden="1" x14ac:dyDescent="0.2">
      <c r="A163" s="77"/>
    </row>
    <row r="164" spans="1:1" hidden="1" x14ac:dyDescent="0.2">
      <c r="A164" s="77"/>
    </row>
    <row r="165" spans="1:1" hidden="1" x14ac:dyDescent="0.2">
      <c r="A165" s="77"/>
    </row>
    <row r="166" spans="1:1" hidden="1" x14ac:dyDescent="0.2">
      <c r="A166" s="77"/>
    </row>
    <row r="167" spans="1:1" hidden="1" x14ac:dyDescent="0.2">
      <c r="A167" s="77"/>
    </row>
    <row r="168" spans="1:1" hidden="1" x14ac:dyDescent="0.2">
      <c r="A168" s="77"/>
    </row>
    <row r="169" spans="1:1" hidden="1" x14ac:dyDescent="0.2">
      <c r="A169" s="77"/>
    </row>
    <row r="170" spans="1:1" hidden="1" x14ac:dyDescent="0.2">
      <c r="A170" s="77"/>
    </row>
    <row r="171" spans="1:1" hidden="1" x14ac:dyDescent="0.2">
      <c r="A171" s="77"/>
    </row>
    <row r="172" spans="1:1" hidden="1" x14ac:dyDescent="0.2">
      <c r="A172" s="77"/>
    </row>
    <row r="173" spans="1:1" hidden="1" x14ac:dyDescent="0.2">
      <c r="A173" s="77"/>
    </row>
    <row r="174" spans="1:1" hidden="1" x14ac:dyDescent="0.2">
      <c r="A174" s="77"/>
    </row>
    <row r="175" spans="1:1" hidden="1" x14ac:dyDescent="0.2">
      <c r="A175" s="77"/>
    </row>
    <row r="176" spans="1:1" hidden="1" x14ac:dyDescent="0.2">
      <c r="A176" s="77"/>
    </row>
    <row r="177" spans="1:1" hidden="1" x14ac:dyDescent="0.2">
      <c r="A177" s="77"/>
    </row>
    <row r="178" spans="1:1" hidden="1" x14ac:dyDescent="0.2">
      <c r="A178" s="77"/>
    </row>
    <row r="179" spans="1:1" hidden="1" x14ac:dyDescent="0.2">
      <c r="A179" s="77"/>
    </row>
    <row r="180" spans="1:1" hidden="1" x14ac:dyDescent="0.2">
      <c r="A180" s="77"/>
    </row>
    <row r="181" spans="1:1" hidden="1" x14ac:dyDescent="0.2">
      <c r="A181" s="77"/>
    </row>
    <row r="182" spans="1:1" hidden="1" x14ac:dyDescent="0.2">
      <c r="A182" s="77"/>
    </row>
    <row r="183" spans="1:1" hidden="1" x14ac:dyDescent="0.2">
      <c r="A183" s="77"/>
    </row>
    <row r="184" spans="1:1" hidden="1" x14ac:dyDescent="0.2">
      <c r="A184" s="77"/>
    </row>
    <row r="185" spans="1:1" hidden="1" x14ac:dyDescent="0.2">
      <c r="A185" s="77"/>
    </row>
    <row r="186" spans="1:1" hidden="1" x14ac:dyDescent="0.2">
      <c r="A186" s="77"/>
    </row>
    <row r="187" spans="1:1" hidden="1" x14ac:dyDescent="0.2">
      <c r="A187" s="77"/>
    </row>
    <row r="188" spans="1:1" hidden="1" x14ac:dyDescent="0.2">
      <c r="A188" s="77"/>
    </row>
    <row r="189" spans="1:1" hidden="1" x14ac:dyDescent="0.2">
      <c r="A189" s="77"/>
    </row>
    <row r="190" spans="1:1" hidden="1" x14ac:dyDescent="0.2">
      <c r="A190" s="77"/>
    </row>
    <row r="191" spans="1:1" hidden="1" x14ac:dyDescent="0.2">
      <c r="A191" s="77"/>
    </row>
    <row r="192" spans="1:1" hidden="1" x14ac:dyDescent="0.2">
      <c r="A192" s="77"/>
    </row>
    <row r="193" spans="1:1" hidden="1" x14ac:dyDescent="0.2">
      <c r="A193" s="77"/>
    </row>
    <row r="229" x14ac:dyDescent="0.2"/>
    <row r="230" x14ac:dyDescent="0.2"/>
  </sheetData>
  <sheetProtection algorithmName="SHA-512" hashValue="Chj9vBjLzMuXCLg8GHVxiWjAnp9BN+ay+K0yPbcOmNnGkYV98uIyL1r3rfv2yzVHBzoSIqVIXWAwpr1h57GGjw==" saltValue="sJMmJQN5J0W4Obr8MA3piQ==" spinCount="100000" sheet="1" objects="1" scenarios="1"/>
  <mergeCells count="479">
    <mergeCell ref="P72:R72"/>
    <mergeCell ref="S62:U62"/>
    <mergeCell ref="S63:U63"/>
    <mergeCell ref="S64:U64"/>
    <mergeCell ref="S65:U65"/>
    <mergeCell ref="S66:U66"/>
    <mergeCell ref="S67:U67"/>
    <mergeCell ref="S68:U68"/>
    <mergeCell ref="S69:U69"/>
    <mergeCell ref="S70:U70"/>
    <mergeCell ref="S71:U71"/>
    <mergeCell ref="S72:U72"/>
    <mergeCell ref="P62:R62"/>
    <mergeCell ref="P63:R63"/>
    <mergeCell ref="P64:R64"/>
    <mergeCell ref="P65:R65"/>
    <mergeCell ref="P66:R66"/>
    <mergeCell ref="P67:R67"/>
    <mergeCell ref="P68:R68"/>
    <mergeCell ref="P69:R69"/>
    <mergeCell ref="P70:R70"/>
    <mergeCell ref="V98:X98"/>
    <mergeCell ref="V99:X99"/>
    <mergeCell ref="V100:X100"/>
    <mergeCell ref="V101:X101"/>
    <mergeCell ref="V102:X102"/>
    <mergeCell ref="A62:A72"/>
    <mergeCell ref="J62:L62"/>
    <mergeCell ref="J63:L63"/>
    <mergeCell ref="J64:L64"/>
    <mergeCell ref="J65:L65"/>
    <mergeCell ref="J66:L66"/>
    <mergeCell ref="J67:L67"/>
    <mergeCell ref="J68:L68"/>
    <mergeCell ref="J69:L69"/>
    <mergeCell ref="J70:L70"/>
    <mergeCell ref="J71:L71"/>
    <mergeCell ref="J72:L72"/>
    <mergeCell ref="M62:O62"/>
    <mergeCell ref="M63:O63"/>
    <mergeCell ref="M64:O64"/>
    <mergeCell ref="M65:O65"/>
    <mergeCell ref="V89:X89"/>
    <mergeCell ref="V90:X90"/>
    <mergeCell ref="P71:R71"/>
    <mergeCell ref="V91:X91"/>
    <mergeCell ref="V92:X92"/>
    <mergeCell ref="V93:X93"/>
    <mergeCell ref="V94:X94"/>
    <mergeCell ref="V95:X95"/>
    <mergeCell ref="V96:X96"/>
    <mergeCell ref="V97:X97"/>
    <mergeCell ref="V80:X80"/>
    <mergeCell ref="V81:X81"/>
    <mergeCell ref="V82:X82"/>
    <mergeCell ref="V83:X83"/>
    <mergeCell ref="V84:X84"/>
    <mergeCell ref="V85:X85"/>
    <mergeCell ref="V86:X86"/>
    <mergeCell ref="V87:X87"/>
    <mergeCell ref="V88:X88"/>
    <mergeCell ref="V60:X60"/>
    <mergeCell ref="V61:X61"/>
    <mergeCell ref="V73:X73"/>
    <mergeCell ref="V74:X74"/>
    <mergeCell ref="V75:X75"/>
    <mergeCell ref="V76:X76"/>
    <mergeCell ref="V77:X77"/>
    <mergeCell ref="V78:X78"/>
    <mergeCell ref="V79:X79"/>
    <mergeCell ref="V62:X62"/>
    <mergeCell ref="V63:X63"/>
    <mergeCell ref="V64:X64"/>
    <mergeCell ref="V65:X65"/>
    <mergeCell ref="V66:X66"/>
    <mergeCell ref="V67:X67"/>
    <mergeCell ref="V68:X68"/>
    <mergeCell ref="V69:X69"/>
    <mergeCell ref="V70:X70"/>
    <mergeCell ref="V71:X71"/>
    <mergeCell ref="V72:X72"/>
    <mergeCell ref="V51:X51"/>
    <mergeCell ref="V52:X52"/>
    <mergeCell ref="V53:X53"/>
    <mergeCell ref="V54:X54"/>
    <mergeCell ref="V55:X55"/>
    <mergeCell ref="V56:X56"/>
    <mergeCell ref="V57:X57"/>
    <mergeCell ref="V58:X58"/>
    <mergeCell ref="V59:X59"/>
    <mergeCell ref="V42:X42"/>
    <mergeCell ref="V43:X43"/>
    <mergeCell ref="V44:X44"/>
    <mergeCell ref="V45:X45"/>
    <mergeCell ref="V46:X46"/>
    <mergeCell ref="V47:X47"/>
    <mergeCell ref="V48:X48"/>
    <mergeCell ref="V49:X49"/>
    <mergeCell ref="V50:X50"/>
    <mergeCell ref="S99:U99"/>
    <mergeCell ref="S100:U100"/>
    <mergeCell ref="S101:U101"/>
    <mergeCell ref="S102:U102"/>
    <mergeCell ref="V22:X22"/>
    <mergeCell ref="V23:X23"/>
    <mergeCell ref="V24:X24"/>
    <mergeCell ref="V25:X25"/>
    <mergeCell ref="V26:X26"/>
    <mergeCell ref="V27:X27"/>
    <mergeCell ref="V28:X28"/>
    <mergeCell ref="V29:X29"/>
    <mergeCell ref="V30:X30"/>
    <mergeCell ref="V31:X31"/>
    <mergeCell ref="V32:X32"/>
    <mergeCell ref="V33:X33"/>
    <mergeCell ref="V34:X34"/>
    <mergeCell ref="V35:X35"/>
    <mergeCell ref="V36:X36"/>
    <mergeCell ref="V37:X37"/>
    <mergeCell ref="V38:X38"/>
    <mergeCell ref="V39:X39"/>
    <mergeCell ref="V40:X40"/>
    <mergeCell ref="V41:X41"/>
    <mergeCell ref="S90:U90"/>
    <mergeCell ref="S91:U91"/>
    <mergeCell ref="S92:U92"/>
    <mergeCell ref="S93:U93"/>
    <mergeCell ref="S94:U94"/>
    <mergeCell ref="S95:U95"/>
    <mergeCell ref="S96:U96"/>
    <mergeCell ref="S97:U97"/>
    <mergeCell ref="S98:U98"/>
    <mergeCell ref="S81:U81"/>
    <mergeCell ref="S82:U82"/>
    <mergeCell ref="S83:U83"/>
    <mergeCell ref="S84:U84"/>
    <mergeCell ref="S85:U85"/>
    <mergeCell ref="S86:U86"/>
    <mergeCell ref="S87:U87"/>
    <mergeCell ref="S88:U88"/>
    <mergeCell ref="S89:U89"/>
    <mergeCell ref="S61:U61"/>
    <mergeCell ref="S73:U73"/>
    <mergeCell ref="S74:U74"/>
    <mergeCell ref="S75:U75"/>
    <mergeCell ref="S76:U76"/>
    <mergeCell ref="S77:U77"/>
    <mergeCell ref="S78:U78"/>
    <mergeCell ref="S79:U79"/>
    <mergeCell ref="S80:U80"/>
    <mergeCell ref="S52:U52"/>
    <mergeCell ref="S53:U53"/>
    <mergeCell ref="S54:U54"/>
    <mergeCell ref="S55:U55"/>
    <mergeCell ref="S56:U56"/>
    <mergeCell ref="S57:U57"/>
    <mergeCell ref="S58:U58"/>
    <mergeCell ref="S59:U59"/>
    <mergeCell ref="S60:U60"/>
    <mergeCell ref="S43:U43"/>
    <mergeCell ref="S44:U44"/>
    <mergeCell ref="S45:U45"/>
    <mergeCell ref="S46:U46"/>
    <mergeCell ref="S47:U47"/>
    <mergeCell ref="S48:U48"/>
    <mergeCell ref="S49:U49"/>
    <mergeCell ref="S50:U50"/>
    <mergeCell ref="S51:U51"/>
    <mergeCell ref="P100:R100"/>
    <mergeCell ref="P101:R101"/>
    <mergeCell ref="P102:R102"/>
    <mergeCell ref="S22:U22"/>
    <mergeCell ref="S23:U23"/>
    <mergeCell ref="S24:U24"/>
    <mergeCell ref="S25:U25"/>
    <mergeCell ref="S26:U26"/>
    <mergeCell ref="S27:U27"/>
    <mergeCell ref="S28:U28"/>
    <mergeCell ref="S29:U29"/>
    <mergeCell ref="S30:U30"/>
    <mergeCell ref="S31:U31"/>
    <mergeCell ref="S32:U32"/>
    <mergeCell ref="S33:U33"/>
    <mergeCell ref="S34:U34"/>
    <mergeCell ref="S35:U35"/>
    <mergeCell ref="S36:U36"/>
    <mergeCell ref="S37:U37"/>
    <mergeCell ref="S38:U38"/>
    <mergeCell ref="S39:U39"/>
    <mergeCell ref="S40:U40"/>
    <mergeCell ref="S41:U41"/>
    <mergeCell ref="S42:U42"/>
    <mergeCell ref="P91:R91"/>
    <mergeCell ref="P92:R92"/>
    <mergeCell ref="P93:R93"/>
    <mergeCell ref="P94:R94"/>
    <mergeCell ref="P95:R95"/>
    <mergeCell ref="P96:R96"/>
    <mergeCell ref="P97:R97"/>
    <mergeCell ref="P98:R98"/>
    <mergeCell ref="P99:R99"/>
    <mergeCell ref="P82:R82"/>
    <mergeCell ref="P83:R83"/>
    <mergeCell ref="P84:R84"/>
    <mergeCell ref="P85:R85"/>
    <mergeCell ref="P86:R86"/>
    <mergeCell ref="P87:R87"/>
    <mergeCell ref="P88:R88"/>
    <mergeCell ref="P89:R89"/>
    <mergeCell ref="P90:R90"/>
    <mergeCell ref="P73:R73"/>
    <mergeCell ref="P74:R74"/>
    <mergeCell ref="P75:R75"/>
    <mergeCell ref="P76:R76"/>
    <mergeCell ref="P77:R77"/>
    <mergeCell ref="P78:R78"/>
    <mergeCell ref="P79:R79"/>
    <mergeCell ref="P80:R80"/>
    <mergeCell ref="P81:R81"/>
    <mergeCell ref="P53:R53"/>
    <mergeCell ref="P54:R54"/>
    <mergeCell ref="P55:R55"/>
    <mergeCell ref="P56:R56"/>
    <mergeCell ref="P57:R57"/>
    <mergeCell ref="P58:R58"/>
    <mergeCell ref="P59:R59"/>
    <mergeCell ref="P60:R60"/>
    <mergeCell ref="P61:R61"/>
    <mergeCell ref="P44:R44"/>
    <mergeCell ref="P45:R45"/>
    <mergeCell ref="P46:R46"/>
    <mergeCell ref="P47:R47"/>
    <mergeCell ref="P48:R48"/>
    <mergeCell ref="P49:R49"/>
    <mergeCell ref="P50:R50"/>
    <mergeCell ref="P51:R51"/>
    <mergeCell ref="P52:R52"/>
    <mergeCell ref="M101:O101"/>
    <mergeCell ref="M102:O102"/>
    <mergeCell ref="P22:R22"/>
    <mergeCell ref="P23:R23"/>
    <mergeCell ref="P24:R24"/>
    <mergeCell ref="P25:R25"/>
    <mergeCell ref="P26:R26"/>
    <mergeCell ref="P27:R27"/>
    <mergeCell ref="P28:R2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P39:R39"/>
    <mergeCell ref="P40:R40"/>
    <mergeCell ref="P41:R41"/>
    <mergeCell ref="P42:R42"/>
    <mergeCell ref="P43:R43"/>
    <mergeCell ref="M92:O92"/>
    <mergeCell ref="M93:O93"/>
    <mergeCell ref="M94:O94"/>
    <mergeCell ref="M95:O95"/>
    <mergeCell ref="M96:O96"/>
    <mergeCell ref="M97:O97"/>
    <mergeCell ref="M98:O98"/>
    <mergeCell ref="M99:O99"/>
    <mergeCell ref="M100:O100"/>
    <mergeCell ref="M83:O83"/>
    <mergeCell ref="M84:O84"/>
    <mergeCell ref="M85:O85"/>
    <mergeCell ref="M86:O86"/>
    <mergeCell ref="M87:O87"/>
    <mergeCell ref="M88:O88"/>
    <mergeCell ref="M89:O89"/>
    <mergeCell ref="M90:O90"/>
    <mergeCell ref="M91:O91"/>
    <mergeCell ref="M74:O74"/>
    <mergeCell ref="M75:O75"/>
    <mergeCell ref="M76:O76"/>
    <mergeCell ref="M77:O77"/>
    <mergeCell ref="M78:O78"/>
    <mergeCell ref="M79:O79"/>
    <mergeCell ref="M80:O80"/>
    <mergeCell ref="M81:O81"/>
    <mergeCell ref="M82:O82"/>
    <mergeCell ref="M54:O54"/>
    <mergeCell ref="M55:O55"/>
    <mergeCell ref="M56:O56"/>
    <mergeCell ref="M57:O57"/>
    <mergeCell ref="M58:O58"/>
    <mergeCell ref="M59:O59"/>
    <mergeCell ref="M60:O60"/>
    <mergeCell ref="M61:O61"/>
    <mergeCell ref="M73:O73"/>
    <mergeCell ref="M66:O66"/>
    <mergeCell ref="M67:O67"/>
    <mergeCell ref="M68:O68"/>
    <mergeCell ref="M69:O69"/>
    <mergeCell ref="M70:O70"/>
    <mergeCell ref="M71:O71"/>
    <mergeCell ref="M72:O72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J102:L102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J93:L93"/>
    <mergeCell ref="J94:L94"/>
    <mergeCell ref="J95:L95"/>
    <mergeCell ref="J96:L96"/>
    <mergeCell ref="J97:L97"/>
    <mergeCell ref="J98:L98"/>
    <mergeCell ref="J99:L99"/>
    <mergeCell ref="J100:L100"/>
    <mergeCell ref="J101:L101"/>
    <mergeCell ref="J84:L84"/>
    <mergeCell ref="J85:L85"/>
    <mergeCell ref="J86:L86"/>
    <mergeCell ref="J87:L87"/>
    <mergeCell ref="J88:L88"/>
    <mergeCell ref="J89:L89"/>
    <mergeCell ref="J90:L90"/>
    <mergeCell ref="J91:L91"/>
    <mergeCell ref="J92:L92"/>
    <mergeCell ref="J22:L22"/>
    <mergeCell ref="J20:K20"/>
    <mergeCell ref="L20:M20"/>
    <mergeCell ref="N20:X20"/>
    <mergeCell ref="Q14:T15"/>
    <mergeCell ref="Q16:T17"/>
    <mergeCell ref="Q18:T19"/>
    <mergeCell ref="U1:X1"/>
    <mergeCell ref="U2:X3"/>
    <mergeCell ref="U4:X5"/>
    <mergeCell ref="U6:X7"/>
    <mergeCell ref="U8:X9"/>
    <mergeCell ref="U10:X11"/>
    <mergeCell ref="U12:X13"/>
    <mergeCell ref="U14:X15"/>
    <mergeCell ref="U16:X17"/>
    <mergeCell ref="U18:X19"/>
    <mergeCell ref="H1:L1"/>
    <mergeCell ref="M14:P15"/>
    <mergeCell ref="M16:P17"/>
    <mergeCell ref="M18:P19"/>
    <mergeCell ref="V21:X21"/>
    <mergeCell ref="P21:R21"/>
    <mergeCell ref="S21:U21"/>
    <mergeCell ref="B1:G1"/>
    <mergeCell ref="Q1:T1"/>
    <mergeCell ref="Q2:T3"/>
    <mergeCell ref="Q4:T5"/>
    <mergeCell ref="Q6:T7"/>
    <mergeCell ref="Q8:T9"/>
    <mergeCell ref="Q10:T11"/>
    <mergeCell ref="Q12:T13"/>
    <mergeCell ref="M2:P3"/>
    <mergeCell ref="M4:P5"/>
    <mergeCell ref="M6:P7"/>
    <mergeCell ref="M8:P9"/>
    <mergeCell ref="M10:P11"/>
    <mergeCell ref="M12:P13"/>
    <mergeCell ref="M1:P1"/>
    <mergeCell ref="B2:G3"/>
    <mergeCell ref="B4:G5"/>
    <mergeCell ref="B6:G7"/>
    <mergeCell ref="B8:G9"/>
    <mergeCell ref="B10:G11"/>
    <mergeCell ref="B12:G13"/>
    <mergeCell ref="B14:G15"/>
    <mergeCell ref="B16:G17"/>
    <mergeCell ref="B18:G19"/>
    <mergeCell ref="H2:L3"/>
    <mergeCell ref="H4:L5"/>
    <mergeCell ref="H6:L7"/>
    <mergeCell ref="H8:L9"/>
    <mergeCell ref="H10:L11"/>
    <mergeCell ref="H12:L13"/>
    <mergeCell ref="H14:L15"/>
    <mergeCell ref="H16:L17"/>
    <mergeCell ref="H18:L19"/>
    <mergeCell ref="J21:L21"/>
    <mergeCell ref="M21:O21"/>
    <mergeCell ref="A20:A21"/>
    <mergeCell ref="A42:A51"/>
    <mergeCell ref="A52:A61"/>
    <mergeCell ref="A22:A31"/>
    <mergeCell ref="A32:A41"/>
    <mergeCell ref="H20:I20"/>
    <mergeCell ref="J23:L23"/>
    <mergeCell ref="J24:L24"/>
    <mergeCell ref="J25:L25"/>
    <mergeCell ref="J26:L26"/>
    <mergeCell ref="J27:L27"/>
    <mergeCell ref="J28:L28"/>
    <mergeCell ref="J29:L29"/>
    <mergeCell ref="J30:L30"/>
    <mergeCell ref="J31:L31"/>
    <mergeCell ref="J32:L32"/>
    <mergeCell ref="J33:L33"/>
    <mergeCell ref="J34:L34"/>
    <mergeCell ref="J35:L35"/>
    <mergeCell ref="J36:L36"/>
    <mergeCell ref="J37:L37"/>
    <mergeCell ref="J38:L38"/>
    <mergeCell ref="J39:L39"/>
    <mergeCell ref="J40:L40"/>
    <mergeCell ref="J41:L41"/>
    <mergeCell ref="J42:L42"/>
    <mergeCell ref="J43:L43"/>
    <mergeCell ref="J44:L44"/>
    <mergeCell ref="J45:L45"/>
    <mergeCell ref="J46:L46"/>
    <mergeCell ref="J47:L47"/>
    <mergeCell ref="J76:L76"/>
    <mergeCell ref="J48:L48"/>
    <mergeCell ref="J49:L49"/>
    <mergeCell ref="J50:L50"/>
    <mergeCell ref="J51:L51"/>
    <mergeCell ref="J52:L52"/>
    <mergeCell ref="J53:L53"/>
    <mergeCell ref="J54:L54"/>
    <mergeCell ref="J55:L55"/>
    <mergeCell ref="J56:L56"/>
    <mergeCell ref="J77:L77"/>
    <mergeCell ref="J78:L78"/>
    <mergeCell ref="J79:L79"/>
    <mergeCell ref="J80:L80"/>
    <mergeCell ref="J81:L81"/>
    <mergeCell ref="J82:L82"/>
    <mergeCell ref="J83:L83"/>
    <mergeCell ref="A93:A102"/>
    <mergeCell ref="B20:B21"/>
    <mergeCell ref="G20:G21"/>
    <mergeCell ref="F20:F21"/>
    <mergeCell ref="D20:D21"/>
    <mergeCell ref="C20:C21"/>
    <mergeCell ref="E20:E21"/>
    <mergeCell ref="A83:A92"/>
    <mergeCell ref="A73:A82"/>
    <mergeCell ref="J57:L57"/>
    <mergeCell ref="J58:L58"/>
    <mergeCell ref="J59:L59"/>
    <mergeCell ref="J60:L60"/>
    <mergeCell ref="J61:L61"/>
    <mergeCell ref="J73:L73"/>
    <mergeCell ref="J74:L74"/>
    <mergeCell ref="J75:L75"/>
  </mergeCells>
  <conditionalFormatting sqref="A6 A9 A12">
    <cfRule type="cellIs" dxfId="28" priority="1" operator="greaterThanOrEqual">
      <formula>0.5</formula>
    </cfRule>
    <cfRule type="cellIs" dxfId="27" priority="2" operator="between">
      <formula>0.3</formula>
      <formula>0.49</formula>
    </cfRule>
    <cfRule type="cellIs" dxfId="26" priority="3" operator="lessThan">
      <formula>0.3</formula>
    </cfRule>
  </conditionalFormatting>
  <conditionalFormatting sqref="E22:E131">
    <cfRule type="cellIs" dxfId="25" priority="4" operator="equal">
      <formula>"N"</formula>
    </cfRule>
    <cfRule type="cellIs" dxfId="24" priority="5" operator="equal">
      <formula>"Y"</formula>
    </cfRule>
  </conditionalFormatting>
  <conditionalFormatting sqref="H22:H131">
    <cfRule type="cellIs" dxfId="23" priority="10" operator="equal">
      <formula>2</formula>
    </cfRule>
    <cfRule type="cellIs" dxfId="22" priority="11" operator="equal">
      <formula>1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7E8B-1D86-4B58-9A66-A53B49268D1C}">
  <sheetPr>
    <pageSetUpPr fitToPage="1"/>
  </sheetPr>
  <dimension ref="A1:BH107"/>
  <sheetViews>
    <sheetView workbookViewId="0">
      <selection activeCell="Q3" sqref="Q3"/>
    </sheetView>
  </sheetViews>
  <sheetFormatPr defaultColWidth="0" defaultRowHeight="0" customHeight="1" zeroHeight="1" x14ac:dyDescent="0.2"/>
  <cols>
    <col min="4" max="4" width="11.8359375" style="78" hidden="1" customWidth="1"/>
    <col min="5" max="5" width="13.31640625" hidden="1" customWidth="1"/>
    <col min="6" max="6" width="5.24609375" hidden="1" customWidth="1"/>
    <col min="7" max="7" width="3.62890625" hidden="1" customWidth="1"/>
    <col min="8" max="8" width="11.97265625" hidden="1" customWidth="1"/>
    <col min="9" max="9" width="19.234375" hidden="1" customWidth="1"/>
    <col min="10" max="10" width="18.5625" hidden="1" customWidth="1"/>
    <col min="11" max="11" width="6.859375" hidden="1" customWidth="1"/>
    <col min="12" max="12" width="17.75390625" hidden="1" customWidth="1"/>
    <col min="13" max="13" width="34.97265625" hidden="1" customWidth="1"/>
    <col min="14" max="14" width="37.53125" hidden="1" customWidth="1"/>
    <col min="15" max="15" width="38.47265625" hidden="1" customWidth="1"/>
    <col min="16" max="16" width="36.72265625" hidden="1" customWidth="1"/>
    <col min="17" max="17" width="11.703125" style="77" customWidth="1"/>
    <col min="18" max="18" width="28.78515625" style="77" customWidth="1"/>
    <col min="19" max="19" width="5.24609375" style="77" customWidth="1"/>
    <col min="20" max="20" width="3.62890625" style="77" customWidth="1"/>
    <col min="21" max="21" width="14.125" style="77" customWidth="1"/>
    <col min="22" max="22" width="11.97265625" style="77" customWidth="1"/>
    <col min="23" max="23" width="11.56640625" style="77" customWidth="1"/>
    <col min="24" max="24" width="18.5625" style="77" customWidth="1"/>
    <col min="25" max="25" width="6.859375" style="77" customWidth="1"/>
    <col min="26" max="26" width="17.75390625" style="77" customWidth="1"/>
    <col min="27" max="27" width="34.97265625" style="77" customWidth="1"/>
    <col min="28" max="28" width="32.41796875" style="77" customWidth="1"/>
    <col min="29" max="29" width="38.47265625" style="77" customWidth="1"/>
    <col min="30" max="30" width="29.99609375" style="77" customWidth="1"/>
    <col min="31" max="44" width="6.58984375" style="77" customWidth="1"/>
    <col min="45" max="45" width="0.53515625" hidden="1" customWidth="1"/>
  </cols>
  <sheetData>
    <row r="1" spans="4:47" ht="0" hidden="1" customHeight="1" x14ac:dyDescent="0.2">
      <c r="D1" s="77"/>
    </row>
    <row r="2" spans="4:47" ht="24.75" customHeight="1" x14ac:dyDescent="0.3">
      <c r="D2" s="891" t="s">
        <v>184</v>
      </c>
      <c r="E2" s="892" t="s">
        <v>185</v>
      </c>
      <c r="F2" s="893"/>
      <c r="G2" s="893"/>
      <c r="H2" s="894"/>
      <c r="I2" s="895" t="s">
        <v>24</v>
      </c>
      <c r="J2" s="895"/>
      <c r="K2" s="57" t="s">
        <v>186</v>
      </c>
      <c r="L2" s="59" t="s">
        <v>187</v>
      </c>
      <c r="M2" s="56"/>
      <c r="N2" s="58" t="s">
        <v>24</v>
      </c>
      <c r="O2" s="90" t="s">
        <v>188</v>
      </c>
      <c r="P2" s="109" t="s">
        <v>24</v>
      </c>
      <c r="Q2" s="403" t="str">
        <f>HYPERLINK("#'Table of Contents'!A1", "🏠 Return")</f>
        <v>🏠 Return</v>
      </c>
      <c r="R2" s="740" t="s">
        <v>189</v>
      </c>
      <c r="S2" s="529"/>
      <c r="T2" s="529"/>
      <c r="U2" s="529"/>
      <c r="V2" s="531"/>
      <c r="W2" s="530" t="s">
        <v>24</v>
      </c>
      <c r="X2" s="531"/>
      <c r="Y2" s="294" t="s">
        <v>186</v>
      </c>
      <c r="Z2" s="285" t="s">
        <v>190</v>
      </c>
      <c r="AA2" s="286"/>
      <c r="AB2" s="287" t="s">
        <v>24</v>
      </c>
      <c r="AC2" s="288" t="s">
        <v>191</v>
      </c>
      <c r="AD2" s="289" t="s">
        <v>24</v>
      </c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65"/>
    </row>
    <row r="3" spans="4:47" s="10" customFormat="1" ht="24.75" customHeight="1" x14ac:dyDescent="0.2">
      <c r="D3" s="891"/>
      <c r="E3" s="296" t="s">
        <v>192</v>
      </c>
      <c r="F3" s="301"/>
      <c r="G3" s="301"/>
      <c r="H3" s="301"/>
      <c r="I3" s="93" t="s">
        <v>193</v>
      </c>
      <c r="J3" s="93"/>
      <c r="K3" s="96">
        <v>0.1</v>
      </c>
      <c r="L3" s="296" t="s">
        <v>194</v>
      </c>
      <c r="M3" s="301"/>
      <c r="N3" s="93" t="s">
        <v>193</v>
      </c>
      <c r="O3" s="322" t="s">
        <v>195</v>
      </c>
      <c r="P3" s="110" t="s">
        <v>193</v>
      </c>
      <c r="Q3" s="459"/>
      <c r="R3" s="741" t="s">
        <v>196</v>
      </c>
      <c r="S3" s="742"/>
      <c r="T3" s="742"/>
      <c r="U3" s="742"/>
      <c r="V3" s="743"/>
      <c r="W3" s="752" t="s">
        <v>28</v>
      </c>
      <c r="X3" s="753"/>
      <c r="Y3" s="96"/>
      <c r="Z3" s="732" t="s">
        <v>197</v>
      </c>
      <c r="AA3" s="733"/>
      <c r="AB3" s="290" t="s">
        <v>28</v>
      </c>
      <c r="AC3" s="322" t="s">
        <v>195</v>
      </c>
      <c r="AD3" s="291" t="s">
        <v>28</v>
      </c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312"/>
      <c r="AR3" s="312"/>
      <c r="AS3" s="66"/>
    </row>
    <row r="4" spans="4:47" s="89" customFormat="1" ht="24.75" customHeight="1" x14ac:dyDescent="0.2">
      <c r="D4" s="891"/>
      <c r="E4" s="887" t="s">
        <v>198</v>
      </c>
      <c r="F4" s="888"/>
      <c r="G4" s="888"/>
      <c r="H4" s="889"/>
      <c r="I4" s="886" t="s">
        <v>193</v>
      </c>
      <c r="J4" s="886"/>
      <c r="K4" s="98">
        <v>4</v>
      </c>
      <c r="L4" s="101" t="s">
        <v>199</v>
      </c>
      <c r="M4" s="300"/>
      <c r="N4" s="100" t="s">
        <v>193</v>
      </c>
      <c r="O4" s="315" t="s">
        <v>200</v>
      </c>
      <c r="P4" s="111" t="s">
        <v>193</v>
      </c>
      <c r="Q4" s="277" t="s">
        <v>201</v>
      </c>
      <c r="R4" s="734" t="s">
        <v>202</v>
      </c>
      <c r="S4" s="735"/>
      <c r="T4" s="735"/>
      <c r="U4" s="735"/>
      <c r="V4" s="736"/>
      <c r="W4" s="752" t="s">
        <v>28</v>
      </c>
      <c r="X4" s="753"/>
      <c r="Y4" s="98"/>
      <c r="Z4" s="751" t="s">
        <v>199</v>
      </c>
      <c r="AA4" s="736"/>
      <c r="AB4" s="290" t="s">
        <v>28</v>
      </c>
      <c r="AC4" s="315" t="s">
        <v>200</v>
      </c>
      <c r="AD4" s="291" t="s">
        <v>28</v>
      </c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</row>
    <row r="5" spans="4:47" s="10" customFormat="1" ht="24.75" customHeight="1" x14ac:dyDescent="0.2">
      <c r="D5" s="891"/>
      <c r="E5" s="296" t="s">
        <v>203</v>
      </c>
      <c r="F5" s="301"/>
      <c r="G5" s="301"/>
      <c r="H5" s="301"/>
      <c r="I5" s="890" t="s">
        <v>193</v>
      </c>
      <c r="J5" s="890"/>
      <c r="K5" s="96">
        <v>8.5</v>
      </c>
      <c r="L5" s="91" t="s">
        <v>204</v>
      </c>
      <c r="M5" s="301"/>
      <c r="N5" s="93" t="s">
        <v>193</v>
      </c>
      <c r="O5" s="323" t="s">
        <v>205</v>
      </c>
      <c r="P5" s="110" t="s">
        <v>193</v>
      </c>
      <c r="Q5" s="458" t="s">
        <v>206</v>
      </c>
      <c r="R5" s="741" t="s">
        <v>207</v>
      </c>
      <c r="S5" s="742"/>
      <c r="T5" s="742"/>
      <c r="U5" s="742"/>
      <c r="V5" s="743"/>
      <c r="W5" s="752" t="s">
        <v>28</v>
      </c>
      <c r="X5" s="753"/>
      <c r="Y5" s="96"/>
      <c r="Z5" s="749" t="s">
        <v>208</v>
      </c>
      <c r="AA5" s="750"/>
      <c r="AB5" s="290" t="s">
        <v>28</v>
      </c>
      <c r="AC5" s="323" t="s">
        <v>205</v>
      </c>
      <c r="AD5" s="291" t="s">
        <v>28</v>
      </c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66"/>
    </row>
    <row r="6" spans="4:47" s="89" customFormat="1" ht="24.75" customHeight="1" x14ac:dyDescent="0.2">
      <c r="D6" s="891"/>
      <c r="E6" s="887" t="s">
        <v>209</v>
      </c>
      <c r="F6" s="888"/>
      <c r="G6" s="888"/>
      <c r="H6" s="889"/>
      <c r="I6" s="886" t="s">
        <v>193</v>
      </c>
      <c r="J6" s="886"/>
      <c r="K6" s="98">
        <v>9.5</v>
      </c>
      <c r="L6" s="300" t="s">
        <v>210</v>
      </c>
      <c r="M6" s="300"/>
      <c r="N6" s="100" t="s">
        <v>193</v>
      </c>
      <c r="O6" s="315" t="s">
        <v>211</v>
      </c>
      <c r="P6" s="111" t="s">
        <v>193</v>
      </c>
      <c r="Q6" s="815" t="s">
        <v>212</v>
      </c>
      <c r="R6" s="734" t="s">
        <v>209</v>
      </c>
      <c r="S6" s="735"/>
      <c r="T6" s="735"/>
      <c r="U6" s="735"/>
      <c r="V6" s="736"/>
      <c r="W6" s="752" t="s">
        <v>28</v>
      </c>
      <c r="X6" s="753"/>
      <c r="Y6" s="98"/>
      <c r="Z6" s="751" t="s">
        <v>39</v>
      </c>
      <c r="AA6" s="736"/>
      <c r="AB6" s="290" t="s">
        <v>28</v>
      </c>
      <c r="AC6" s="315" t="s">
        <v>211</v>
      </c>
      <c r="AD6" s="291" t="s">
        <v>28</v>
      </c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</row>
    <row r="7" spans="4:47" s="10" customFormat="1" ht="24.75" customHeight="1" x14ac:dyDescent="0.2">
      <c r="D7" s="891"/>
      <c r="E7" s="296" t="s">
        <v>213</v>
      </c>
      <c r="F7" s="301"/>
      <c r="G7" s="301"/>
      <c r="H7" s="301"/>
      <c r="I7" s="890" t="s">
        <v>193</v>
      </c>
      <c r="J7" s="890"/>
      <c r="K7" s="96">
        <v>4.5</v>
      </c>
      <c r="L7" s="301" t="s">
        <v>214</v>
      </c>
      <c r="M7" s="301"/>
      <c r="N7" s="93" t="s">
        <v>193</v>
      </c>
      <c r="O7" s="323" t="s">
        <v>215</v>
      </c>
      <c r="P7" s="110" t="s">
        <v>193</v>
      </c>
      <c r="Q7" s="815"/>
      <c r="R7" s="744" t="s">
        <v>216</v>
      </c>
      <c r="S7" s="745"/>
      <c r="T7" s="745"/>
      <c r="U7" s="745"/>
      <c r="V7" s="733"/>
      <c r="W7" s="752" t="s">
        <v>28</v>
      </c>
      <c r="X7" s="753"/>
      <c r="Y7" s="96"/>
      <c r="Z7" s="749" t="s">
        <v>33</v>
      </c>
      <c r="AA7" s="750"/>
      <c r="AB7" s="290" t="s">
        <v>28</v>
      </c>
      <c r="AC7" s="323" t="s">
        <v>215</v>
      </c>
      <c r="AD7" s="291" t="s">
        <v>28</v>
      </c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66"/>
    </row>
    <row r="8" spans="4:47" s="89" customFormat="1" ht="24.75" customHeight="1" x14ac:dyDescent="0.2">
      <c r="D8" s="891"/>
      <c r="E8" s="887" t="s">
        <v>217</v>
      </c>
      <c r="F8" s="888"/>
      <c r="G8" s="888"/>
      <c r="H8" s="889"/>
      <c r="I8" s="886" t="s">
        <v>193</v>
      </c>
      <c r="J8" s="886"/>
      <c r="K8" s="98">
        <v>0.2</v>
      </c>
      <c r="L8" s="300" t="s">
        <v>218</v>
      </c>
      <c r="M8" s="300"/>
      <c r="N8" s="100" t="s">
        <v>193</v>
      </c>
      <c r="O8" s="315" t="s">
        <v>219</v>
      </c>
      <c r="P8" s="111" t="s">
        <v>193</v>
      </c>
      <c r="Q8" s="815"/>
      <c r="R8" s="734" t="s">
        <v>220</v>
      </c>
      <c r="S8" s="735"/>
      <c r="T8" s="735"/>
      <c r="U8" s="735"/>
      <c r="V8" s="736"/>
      <c r="W8" s="752" t="s">
        <v>28</v>
      </c>
      <c r="X8" s="753"/>
      <c r="Y8" s="98"/>
      <c r="Z8" s="751" t="s">
        <v>218</v>
      </c>
      <c r="AA8" s="736"/>
      <c r="AB8" s="290" t="s">
        <v>28</v>
      </c>
      <c r="AC8" s="315" t="s">
        <v>219</v>
      </c>
      <c r="AD8" s="291" t="s">
        <v>28</v>
      </c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</row>
    <row r="9" spans="4:47" s="10" customFormat="1" ht="24.75" customHeight="1" x14ac:dyDescent="0.2">
      <c r="D9" s="891"/>
      <c r="E9" s="296" t="s">
        <v>221</v>
      </c>
      <c r="F9" s="301"/>
      <c r="G9" s="301"/>
      <c r="H9" s="301"/>
      <c r="I9" s="890" t="s">
        <v>193</v>
      </c>
      <c r="J9" s="890"/>
      <c r="K9" s="96">
        <v>1</v>
      </c>
      <c r="L9" s="91" t="s">
        <v>222</v>
      </c>
      <c r="M9" s="301"/>
      <c r="N9" s="93" t="s">
        <v>193</v>
      </c>
      <c r="O9" s="323" t="s">
        <v>223</v>
      </c>
      <c r="P9" s="110" t="s">
        <v>193</v>
      </c>
      <c r="Q9" s="815"/>
      <c r="R9" s="746" t="s">
        <v>224</v>
      </c>
      <c r="S9" s="747"/>
      <c r="T9" s="747"/>
      <c r="U9" s="747"/>
      <c r="V9" s="748"/>
      <c r="W9" s="752" t="s">
        <v>28</v>
      </c>
      <c r="X9" s="753"/>
      <c r="Y9" s="96"/>
      <c r="Z9" s="749" t="s">
        <v>222</v>
      </c>
      <c r="AA9" s="750"/>
      <c r="AB9" s="290" t="s">
        <v>28</v>
      </c>
      <c r="AC9" s="323" t="s">
        <v>223</v>
      </c>
      <c r="AD9" s="291" t="s">
        <v>28</v>
      </c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66"/>
    </row>
    <row r="10" spans="4:47" s="89" customFormat="1" ht="24.75" customHeight="1" x14ac:dyDescent="0.2">
      <c r="D10" s="891"/>
      <c r="E10" s="887" t="s">
        <v>225</v>
      </c>
      <c r="F10" s="888"/>
      <c r="G10" s="888"/>
      <c r="H10" s="889"/>
      <c r="I10" s="886" t="s">
        <v>193</v>
      </c>
      <c r="J10" s="886"/>
      <c r="K10" s="98">
        <v>1.5</v>
      </c>
      <c r="L10" s="300" t="s">
        <v>226</v>
      </c>
      <c r="M10" s="300"/>
      <c r="N10" s="100" t="s">
        <v>193</v>
      </c>
      <c r="O10" s="315" t="s">
        <v>227</v>
      </c>
      <c r="P10" s="111" t="s">
        <v>193</v>
      </c>
      <c r="Q10" s="815"/>
      <c r="R10" s="737" t="s">
        <v>228</v>
      </c>
      <c r="S10" s="738"/>
      <c r="T10" s="738"/>
      <c r="U10" s="738"/>
      <c r="V10" s="739"/>
      <c r="W10" s="752" t="s">
        <v>28</v>
      </c>
      <c r="X10" s="753"/>
      <c r="Y10" s="98"/>
      <c r="Z10" s="751" t="s">
        <v>36</v>
      </c>
      <c r="AA10" s="736"/>
      <c r="AB10" s="290" t="s">
        <v>28</v>
      </c>
      <c r="AC10" s="315" t="s">
        <v>227</v>
      </c>
      <c r="AD10" s="291" t="s">
        <v>28</v>
      </c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</row>
    <row r="11" spans="4:47" ht="24.75" customHeight="1" x14ac:dyDescent="0.2">
      <c r="D11" s="891"/>
      <c r="E11" s="296" t="s">
        <v>229</v>
      </c>
      <c r="F11" s="301"/>
      <c r="G11" s="301"/>
      <c r="H11" s="301"/>
      <c r="I11" s="890" t="s">
        <v>193</v>
      </c>
      <c r="J11" s="890"/>
      <c r="K11" s="96">
        <v>1.5</v>
      </c>
      <c r="L11" s="301" t="s">
        <v>230</v>
      </c>
      <c r="M11" s="301"/>
      <c r="N11" s="93" t="s">
        <v>193</v>
      </c>
      <c r="O11" s="323" t="s">
        <v>231</v>
      </c>
      <c r="P11" s="110" t="s">
        <v>193</v>
      </c>
      <c r="Q11" s="815"/>
      <c r="R11" s="744" t="s">
        <v>232</v>
      </c>
      <c r="S11" s="745"/>
      <c r="T11" s="745"/>
      <c r="U11" s="745"/>
      <c r="V11" s="733"/>
      <c r="W11" s="752" t="s">
        <v>28</v>
      </c>
      <c r="X11" s="753"/>
      <c r="Y11" s="96"/>
      <c r="Z11" s="732"/>
      <c r="AA11" s="733"/>
      <c r="AB11" s="290" t="s">
        <v>28</v>
      </c>
      <c r="AC11" s="323" t="s">
        <v>231</v>
      </c>
      <c r="AD11" s="291" t="s">
        <v>28</v>
      </c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66"/>
      <c r="AT11" s="10"/>
      <c r="AU11" s="10"/>
    </row>
    <row r="12" spans="4:47" s="89" customFormat="1" ht="24.75" customHeight="1" x14ac:dyDescent="0.2">
      <c r="D12" s="891"/>
      <c r="E12" s="887" t="s">
        <v>233</v>
      </c>
      <c r="F12" s="888"/>
      <c r="G12" s="888"/>
      <c r="H12" s="889"/>
      <c r="I12" s="886" t="s">
        <v>193</v>
      </c>
      <c r="J12" s="886"/>
      <c r="K12" s="98">
        <v>2</v>
      </c>
      <c r="L12" s="300" t="s">
        <v>234</v>
      </c>
      <c r="M12" s="300"/>
      <c r="N12" s="100" t="s">
        <v>193</v>
      </c>
      <c r="O12" s="315" t="s">
        <v>235</v>
      </c>
      <c r="P12" s="111" t="s">
        <v>193</v>
      </c>
      <c r="Q12" s="815"/>
      <c r="R12" s="734"/>
      <c r="S12" s="735"/>
      <c r="T12" s="735"/>
      <c r="U12" s="735"/>
      <c r="V12" s="736"/>
      <c r="W12" s="752" t="s">
        <v>28</v>
      </c>
      <c r="X12" s="753"/>
      <c r="Y12" s="98"/>
      <c r="Z12" s="751"/>
      <c r="AA12" s="736"/>
      <c r="AB12" s="290" t="s">
        <v>28</v>
      </c>
      <c r="AC12" s="315" t="s">
        <v>235</v>
      </c>
      <c r="AD12" s="291" t="s">
        <v>28</v>
      </c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</row>
    <row r="13" spans="4:47" ht="24.75" customHeight="1" x14ac:dyDescent="0.2">
      <c r="D13" s="891"/>
      <c r="E13" s="296" t="s">
        <v>236</v>
      </c>
      <c r="F13" s="301"/>
      <c r="G13" s="301"/>
      <c r="H13" s="301"/>
      <c r="I13" s="890" t="s">
        <v>193</v>
      </c>
      <c r="J13" s="890"/>
      <c r="K13" s="96" t="s">
        <v>237</v>
      </c>
      <c r="L13" s="301"/>
      <c r="M13" s="301"/>
      <c r="N13" s="93" t="s">
        <v>193</v>
      </c>
      <c r="O13" s="323" t="s">
        <v>238</v>
      </c>
      <c r="P13" s="110" t="s">
        <v>193</v>
      </c>
      <c r="Q13" s="815"/>
      <c r="R13" s="744"/>
      <c r="S13" s="745"/>
      <c r="T13" s="745"/>
      <c r="U13" s="745"/>
      <c r="V13" s="733"/>
      <c r="W13" s="752" t="s">
        <v>28</v>
      </c>
      <c r="X13" s="753"/>
      <c r="Y13" s="96"/>
      <c r="Z13" s="732"/>
      <c r="AA13" s="733"/>
      <c r="AB13" s="290" t="s">
        <v>28</v>
      </c>
      <c r="AC13" s="323" t="s">
        <v>238</v>
      </c>
      <c r="AD13" s="291" t="s">
        <v>28</v>
      </c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66"/>
      <c r="AT13" s="10"/>
      <c r="AU13" s="10"/>
    </row>
    <row r="14" spans="4:47" s="89" customFormat="1" ht="24.75" customHeight="1" x14ac:dyDescent="0.2">
      <c r="D14" s="891"/>
      <c r="E14" s="751"/>
      <c r="F14" s="735"/>
      <c r="G14" s="735"/>
      <c r="H14" s="736"/>
      <c r="I14" s="886" t="s">
        <v>193</v>
      </c>
      <c r="J14" s="886"/>
      <c r="K14" s="98"/>
      <c r="L14" s="751"/>
      <c r="M14" s="736"/>
      <c r="N14" s="99" t="s">
        <v>193</v>
      </c>
      <c r="O14" s="315"/>
      <c r="P14" s="111" t="s">
        <v>193</v>
      </c>
      <c r="Q14" s="815"/>
      <c r="R14" s="734"/>
      <c r="S14" s="735"/>
      <c r="T14" s="735"/>
      <c r="U14" s="735"/>
      <c r="V14" s="736"/>
      <c r="W14" s="752" t="s">
        <v>28</v>
      </c>
      <c r="X14" s="753"/>
      <c r="Y14" s="98"/>
      <c r="Z14" s="751"/>
      <c r="AA14" s="736"/>
      <c r="AB14" s="290" t="s">
        <v>28</v>
      </c>
      <c r="AC14" s="315"/>
      <c r="AD14" s="291" t="s">
        <v>28</v>
      </c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312"/>
      <c r="AQ14" s="312"/>
      <c r="AR14" s="312"/>
      <c r="AS14" s="312"/>
      <c r="AT14" s="77"/>
    </row>
    <row r="15" spans="4:47" ht="24.75" customHeight="1" x14ac:dyDescent="0.2">
      <c r="D15" s="891"/>
      <c r="E15" s="95"/>
      <c r="F15" s="92"/>
      <c r="G15" s="92"/>
      <c r="H15" s="302"/>
      <c r="I15" s="872" t="s">
        <v>193</v>
      </c>
      <c r="J15" s="873"/>
      <c r="K15" s="97"/>
      <c r="L15" s="92"/>
      <c r="M15" s="92"/>
      <c r="N15" s="94" t="s">
        <v>193</v>
      </c>
      <c r="O15" s="292"/>
      <c r="P15" s="112" t="s">
        <v>193</v>
      </c>
      <c r="Q15" s="815"/>
      <c r="R15" s="885"/>
      <c r="S15" s="763"/>
      <c r="T15" s="763"/>
      <c r="U15" s="763"/>
      <c r="V15" s="764"/>
      <c r="W15" s="752" t="s">
        <v>28</v>
      </c>
      <c r="X15" s="753"/>
      <c r="Y15" s="97"/>
      <c r="Z15" s="92"/>
      <c r="AA15" s="92"/>
      <c r="AB15" s="290" t="s">
        <v>28</v>
      </c>
      <c r="AC15" s="292"/>
      <c r="AD15" s="291" t="s">
        <v>28</v>
      </c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66"/>
      <c r="AT15" s="10"/>
      <c r="AU15" s="10"/>
    </row>
    <row r="16" spans="4:47" ht="15.75" customHeight="1" x14ac:dyDescent="0.2">
      <c r="D16" s="891"/>
      <c r="E16" s="874" t="s">
        <v>55</v>
      </c>
      <c r="F16" s="875"/>
      <c r="G16" s="875"/>
      <c r="H16" s="875"/>
      <c r="I16" s="876"/>
      <c r="J16" s="877" t="s">
        <v>58</v>
      </c>
      <c r="K16" s="878"/>
      <c r="L16" s="878"/>
      <c r="M16" s="102" t="s">
        <v>59</v>
      </c>
      <c r="N16" s="102" t="s">
        <v>60</v>
      </c>
      <c r="O16" s="102" t="s">
        <v>61</v>
      </c>
      <c r="P16" s="103" t="s">
        <v>62</v>
      </c>
      <c r="Q16" s="815"/>
      <c r="R16" s="879" t="s">
        <v>55</v>
      </c>
      <c r="S16" s="880"/>
      <c r="T16" s="880"/>
      <c r="U16" s="880"/>
      <c r="V16" s="880"/>
      <c r="W16" s="881"/>
      <c r="X16" s="882" t="s">
        <v>58</v>
      </c>
      <c r="Y16" s="883"/>
      <c r="Z16" s="884"/>
      <c r="AA16" s="102" t="s">
        <v>59</v>
      </c>
      <c r="AB16" s="102" t="s">
        <v>60</v>
      </c>
      <c r="AC16" s="102" t="s">
        <v>61</v>
      </c>
      <c r="AD16" s="221" t="s">
        <v>62</v>
      </c>
      <c r="AS16" s="6"/>
      <c r="AT16" s="7"/>
      <c r="AU16" s="7"/>
    </row>
    <row r="17" spans="1:46" s="22" customFormat="1" ht="17.25" customHeight="1" x14ac:dyDescent="0.25">
      <c r="A17" s="35"/>
      <c r="B17" s="35"/>
      <c r="C17" s="35"/>
      <c r="D17" s="891"/>
      <c r="E17" s="807" t="s">
        <v>63</v>
      </c>
      <c r="F17" s="808"/>
      <c r="G17" s="809"/>
      <c r="H17" s="809"/>
      <c r="I17" s="810"/>
      <c r="J17" s="846" t="s">
        <v>56</v>
      </c>
      <c r="K17" s="847"/>
      <c r="L17" s="847"/>
      <c r="M17" s="847"/>
      <c r="N17" s="847"/>
      <c r="O17" s="847"/>
      <c r="P17" s="848"/>
      <c r="Q17" s="815"/>
      <c r="R17" s="805" t="s">
        <v>63</v>
      </c>
      <c r="S17" s="806"/>
      <c r="T17" s="806"/>
      <c r="U17" s="806"/>
      <c r="V17" s="804"/>
      <c r="W17" s="849"/>
      <c r="X17" s="850" t="s">
        <v>56</v>
      </c>
      <c r="Y17" s="825"/>
      <c r="Z17" s="825"/>
      <c r="AA17" s="825"/>
      <c r="AB17" s="825"/>
      <c r="AC17" s="825"/>
      <c r="AD17" s="826"/>
      <c r="AE17" s="316"/>
      <c r="AF17" s="316"/>
      <c r="AG17" s="316"/>
      <c r="AH17" s="316"/>
      <c r="AI17" s="316"/>
      <c r="AJ17" s="316"/>
      <c r="AK17" s="316"/>
      <c r="AL17" s="316"/>
      <c r="AM17" s="316"/>
      <c r="AN17" s="316"/>
      <c r="AO17" s="316"/>
      <c r="AP17" s="316"/>
      <c r="AQ17" s="316"/>
      <c r="AR17" s="316"/>
      <c r="AS17" s="321"/>
      <c r="AT17" s="21"/>
    </row>
    <row r="18" spans="1:46" s="26" customFormat="1" ht="15" customHeight="1" x14ac:dyDescent="0.2">
      <c r="A18" s="30"/>
      <c r="B18" s="30"/>
      <c r="C18" s="30"/>
      <c r="D18" s="891"/>
      <c r="E18" s="25" t="s">
        <v>48</v>
      </c>
      <c r="F18" s="30" t="s">
        <v>239</v>
      </c>
      <c r="G18" s="26" t="s">
        <v>50</v>
      </c>
      <c r="H18" s="26" t="s">
        <v>52</v>
      </c>
      <c r="I18" s="327" t="s">
        <v>240</v>
      </c>
      <c r="J18" s="801" t="s">
        <v>180</v>
      </c>
      <c r="K18" s="802"/>
      <c r="L18" s="802"/>
      <c r="M18" s="26" t="s">
        <v>174</v>
      </c>
      <c r="N18" s="26" t="s">
        <v>175</v>
      </c>
      <c r="O18" s="26" t="s">
        <v>176</v>
      </c>
      <c r="P18" s="34" t="s">
        <v>177</v>
      </c>
      <c r="Q18" s="815"/>
      <c r="R18" s="222" t="s">
        <v>48</v>
      </c>
      <c r="S18" s="30" t="s">
        <v>239</v>
      </c>
      <c r="T18" s="26" t="s">
        <v>50</v>
      </c>
      <c r="U18" s="34" t="s">
        <v>52</v>
      </c>
      <c r="V18" s="26" t="s">
        <v>241</v>
      </c>
      <c r="W18" s="132" t="s">
        <v>242</v>
      </c>
      <c r="X18" s="830" t="s">
        <v>180</v>
      </c>
      <c r="Y18" s="831"/>
      <c r="Z18" s="832"/>
      <c r="AA18" s="26" t="s">
        <v>174</v>
      </c>
      <c r="AB18" s="26" t="s">
        <v>175</v>
      </c>
      <c r="AC18" s="26" t="s">
        <v>176</v>
      </c>
      <c r="AD18" s="223" t="s">
        <v>177</v>
      </c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67"/>
      <c r="AT18" s="30"/>
    </row>
    <row r="19" spans="1:46" s="12" customFormat="1" ht="15" customHeight="1" x14ac:dyDescent="0.2">
      <c r="A19" s="16"/>
      <c r="B19" s="16"/>
      <c r="C19" s="16"/>
      <c r="D19" s="891"/>
      <c r="E19" s="11" t="s">
        <v>73</v>
      </c>
      <c r="F19" s="314">
        <v>4</v>
      </c>
      <c r="G19" s="14"/>
      <c r="I19" s="31"/>
      <c r="J19" s="820" t="s">
        <v>243</v>
      </c>
      <c r="K19" s="814"/>
      <c r="L19" s="814"/>
      <c r="M19" s="12" t="s">
        <v>244</v>
      </c>
      <c r="N19" s="12" t="s">
        <v>245</v>
      </c>
      <c r="P19" s="31"/>
      <c r="Q19" s="815"/>
      <c r="R19" s="220" t="s">
        <v>73</v>
      </c>
      <c r="S19" s="314">
        <v>4</v>
      </c>
      <c r="T19" s="14"/>
      <c r="V19" s="133"/>
      <c r="W19" s="31"/>
      <c r="X19" s="841" t="s">
        <v>246</v>
      </c>
      <c r="Y19" s="842"/>
      <c r="Z19" s="843"/>
      <c r="AD19" s="224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68"/>
      <c r="AT19" s="16"/>
    </row>
    <row r="20" spans="1:46" s="61" customFormat="1" ht="30" customHeight="1" x14ac:dyDescent="0.2">
      <c r="A20" s="298"/>
      <c r="B20" s="298"/>
      <c r="C20" s="298"/>
      <c r="D20" s="891"/>
      <c r="E20" s="60" t="s">
        <v>106</v>
      </c>
      <c r="F20" s="326">
        <v>1</v>
      </c>
      <c r="G20" s="40"/>
      <c r="H20" s="61" t="s">
        <v>107</v>
      </c>
      <c r="I20" s="62"/>
      <c r="J20" s="864" t="s">
        <v>247</v>
      </c>
      <c r="K20" s="865"/>
      <c r="L20" s="865"/>
      <c r="M20" s="63" t="s">
        <v>248</v>
      </c>
      <c r="N20" s="61" t="s">
        <v>245</v>
      </c>
      <c r="P20" s="62"/>
      <c r="Q20" s="815"/>
      <c r="R20" s="225" t="s">
        <v>75</v>
      </c>
      <c r="S20" s="37">
        <v>1</v>
      </c>
      <c r="T20" s="14"/>
      <c r="U20" s="3" t="s">
        <v>76</v>
      </c>
      <c r="V20" s="32"/>
      <c r="W20" s="32"/>
      <c r="X20" s="866" t="s">
        <v>249</v>
      </c>
      <c r="Y20" s="867"/>
      <c r="Z20" s="868"/>
      <c r="AA20" s="3"/>
      <c r="AB20" s="3"/>
      <c r="AD20" s="226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69"/>
      <c r="AT20" s="298"/>
    </row>
    <row r="21" spans="1:46" s="12" customFormat="1" ht="15" customHeight="1" x14ac:dyDescent="0.2">
      <c r="A21" s="16"/>
      <c r="B21" s="16"/>
      <c r="C21" s="16"/>
      <c r="D21" s="891"/>
      <c r="E21" s="11" t="s">
        <v>82</v>
      </c>
      <c r="F21" s="314">
        <v>2</v>
      </c>
      <c r="I21" s="31"/>
      <c r="J21" s="820" t="s">
        <v>250</v>
      </c>
      <c r="K21" s="814"/>
      <c r="L21" s="814"/>
      <c r="M21" s="12" t="s">
        <v>251</v>
      </c>
      <c r="N21" s="12" t="s">
        <v>252</v>
      </c>
      <c r="P21" s="31"/>
      <c r="Q21" s="815"/>
      <c r="R21" s="227" t="s">
        <v>109</v>
      </c>
      <c r="S21" s="196">
        <v>2</v>
      </c>
      <c r="T21" s="176"/>
      <c r="U21" s="197" t="s">
        <v>76</v>
      </c>
      <c r="V21" s="198"/>
      <c r="W21" s="198"/>
      <c r="X21" s="869" t="s">
        <v>253</v>
      </c>
      <c r="Y21" s="870"/>
      <c r="Z21" s="871"/>
      <c r="AA21" s="197" t="s">
        <v>254</v>
      </c>
      <c r="AB21" s="197"/>
      <c r="AD21" s="224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68"/>
      <c r="AT21" s="16"/>
    </row>
    <row r="22" spans="1:46" s="3" customFormat="1" ht="15" customHeight="1" x14ac:dyDescent="0.2">
      <c r="A22" s="36"/>
      <c r="B22" s="36"/>
      <c r="C22" s="36"/>
      <c r="D22" s="891"/>
      <c r="E22" s="4" t="s">
        <v>101</v>
      </c>
      <c r="F22" s="19">
        <v>6</v>
      </c>
      <c r="G22" s="15"/>
      <c r="H22" s="5"/>
      <c r="I22" s="33"/>
      <c r="J22" s="858"/>
      <c r="K22" s="859"/>
      <c r="L22" s="859"/>
      <c r="M22" s="5"/>
      <c r="N22" s="5"/>
      <c r="O22" s="5"/>
      <c r="P22" s="33"/>
      <c r="Q22" s="815"/>
      <c r="R22" s="225" t="s">
        <v>111</v>
      </c>
      <c r="S22" s="175">
        <v>3</v>
      </c>
      <c r="T22" s="14"/>
      <c r="X22" s="787" t="s">
        <v>255</v>
      </c>
      <c r="Y22" s="787"/>
      <c r="Z22" s="787"/>
      <c r="AA22" s="3" t="s">
        <v>256</v>
      </c>
      <c r="AC22" s="114"/>
      <c r="AD22" s="228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0"/>
      <c r="AT22" s="17"/>
    </row>
    <row r="23" spans="1:46" s="24" customFormat="1" ht="17.25" customHeight="1" x14ac:dyDescent="0.25">
      <c r="D23" s="891"/>
      <c r="E23" s="807" t="s">
        <v>83</v>
      </c>
      <c r="F23" s="808"/>
      <c r="G23" s="809"/>
      <c r="H23" s="809"/>
      <c r="I23" s="810"/>
      <c r="J23" s="846" t="s">
        <v>56</v>
      </c>
      <c r="K23" s="847"/>
      <c r="L23" s="847"/>
      <c r="M23" s="847"/>
      <c r="N23" s="847"/>
      <c r="O23" s="847"/>
      <c r="P23" s="848"/>
      <c r="Q23" s="815"/>
      <c r="R23" s="855" t="s">
        <v>83</v>
      </c>
      <c r="S23" s="856"/>
      <c r="T23" s="856"/>
      <c r="U23" s="856"/>
      <c r="V23" s="856"/>
      <c r="W23" s="857"/>
      <c r="X23" s="823" t="s">
        <v>56</v>
      </c>
      <c r="Y23" s="824"/>
      <c r="Z23" s="824"/>
      <c r="AA23" s="824"/>
      <c r="AB23" s="824"/>
      <c r="AC23" s="825"/>
      <c r="AD23" s="826"/>
      <c r="AE23" s="316"/>
      <c r="AF23" s="316"/>
      <c r="AG23" s="316"/>
      <c r="AH23" s="316"/>
      <c r="AI23" s="316"/>
      <c r="AJ23" s="316"/>
      <c r="AK23" s="316"/>
      <c r="AL23" s="316"/>
      <c r="AM23" s="316"/>
      <c r="AN23" s="316"/>
      <c r="AO23" s="316"/>
      <c r="AP23" s="316"/>
      <c r="AQ23" s="316"/>
      <c r="AR23" s="316"/>
      <c r="AS23" s="71"/>
      <c r="AT23" s="23"/>
    </row>
    <row r="24" spans="1:46" s="9" customFormat="1" ht="15" customHeight="1" x14ac:dyDescent="0.2">
      <c r="D24" s="891"/>
      <c r="E24" s="25" t="s">
        <v>48</v>
      </c>
      <c r="F24" s="30" t="s">
        <v>239</v>
      </c>
      <c r="G24" s="26" t="s">
        <v>50</v>
      </c>
      <c r="H24" s="27" t="s">
        <v>52</v>
      </c>
      <c r="I24" s="327" t="s">
        <v>240</v>
      </c>
      <c r="J24" s="801" t="s">
        <v>180</v>
      </c>
      <c r="K24" s="802"/>
      <c r="L24" s="802"/>
      <c r="M24" s="26" t="s">
        <v>174</v>
      </c>
      <c r="N24" s="26" t="s">
        <v>175</v>
      </c>
      <c r="O24" s="26" t="s">
        <v>176</v>
      </c>
      <c r="P24" s="34" t="s">
        <v>177</v>
      </c>
      <c r="Q24" s="815"/>
      <c r="R24" s="222" t="s">
        <v>48</v>
      </c>
      <c r="S24" s="30" t="s">
        <v>239</v>
      </c>
      <c r="T24" s="26" t="s">
        <v>50</v>
      </c>
      <c r="U24" s="27" t="s">
        <v>52</v>
      </c>
      <c r="V24" s="327" t="s">
        <v>241</v>
      </c>
      <c r="W24" s="132" t="s">
        <v>242</v>
      </c>
      <c r="X24" s="830" t="s">
        <v>180</v>
      </c>
      <c r="Y24" s="831"/>
      <c r="Z24" s="832"/>
      <c r="AA24" s="26" t="s">
        <v>174</v>
      </c>
      <c r="AB24" s="26" t="s">
        <v>175</v>
      </c>
      <c r="AC24" s="26" t="s">
        <v>176</v>
      </c>
      <c r="AD24" s="223" t="s">
        <v>177</v>
      </c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28"/>
      <c r="AT24" s="8"/>
    </row>
    <row r="25" spans="1:46" s="10" customFormat="1" ht="15" customHeight="1" x14ac:dyDescent="0.2">
      <c r="D25" s="891"/>
      <c r="E25" s="11" t="s">
        <v>84</v>
      </c>
      <c r="F25" s="314">
        <v>1</v>
      </c>
      <c r="G25" s="14"/>
      <c r="H25" s="12" t="s">
        <v>72</v>
      </c>
      <c r="I25" s="31"/>
      <c r="J25" s="820" t="s">
        <v>257</v>
      </c>
      <c r="K25" s="814"/>
      <c r="L25" s="814"/>
      <c r="M25" s="12"/>
      <c r="N25" s="12"/>
      <c r="O25" s="12"/>
      <c r="P25" s="31"/>
      <c r="Q25" s="815"/>
      <c r="R25" s="229" t="s">
        <v>84</v>
      </c>
      <c r="S25" s="292">
        <v>1</v>
      </c>
      <c r="T25" s="162"/>
      <c r="U25" s="163" t="s">
        <v>85</v>
      </c>
      <c r="V25" s="164"/>
      <c r="W25" s="164"/>
      <c r="X25" s="852" t="s">
        <v>257</v>
      </c>
      <c r="Y25" s="853"/>
      <c r="Z25" s="854"/>
      <c r="AA25" s="230" t="s">
        <v>258</v>
      </c>
      <c r="AB25" s="163"/>
      <c r="AC25" s="163" t="s">
        <v>108</v>
      </c>
      <c r="AD25" s="224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13"/>
      <c r="AT25" s="13"/>
    </row>
    <row r="26" spans="1:46" ht="15" customHeight="1" x14ac:dyDescent="0.2">
      <c r="D26" s="891"/>
      <c r="E26" s="2" t="s">
        <v>87</v>
      </c>
      <c r="F26" s="37">
        <v>3</v>
      </c>
      <c r="G26" s="14"/>
      <c r="H26" s="3" t="s">
        <v>88</v>
      </c>
      <c r="I26" s="32"/>
      <c r="J26" s="786" t="s">
        <v>37</v>
      </c>
      <c r="K26" s="787"/>
      <c r="L26" s="787"/>
      <c r="M26" s="3"/>
      <c r="N26" s="3"/>
      <c r="O26" s="3" t="s">
        <v>89</v>
      </c>
      <c r="P26" s="32"/>
      <c r="Q26" s="815"/>
      <c r="R26" s="225" t="s">
        <v>87</v>
      </c>
      <c r="S26" s="175">
        <v>3</v>
      </c>
      <c r="T26" s="14"/>
      <c r="U26" s="3" t="s">
        <v>88</v>
      </c>
      <c r="V26" s="3"/>
      <c r="W26" s="3"/>
      <c r="X26" s="787" t="s">
        <v>37</v>
      </c>
      <c r="Y26" s="787"/>
      <c r="Z26" s="787"/>
      <c r="AA26" s="3" t="s">
        <v>259</v>
      </c>
      <c r="AB26" s="3"/>
      <c r="AC26" s="3" t="s">
        <v>89</v>
      </c>
      <c r="AD26" s="231"/>
      <c r="AS26" s="1"/>
      <c r="AT26" s="1"/>
    </row>
    <row r="27" spans="1:46" s="38" customFormat="1" ht="31.5" customHeight="1" x14ac:dyDescent="0.2">
      <c r="D27" s="891"/>
      <c r="E27" s="39" t="s">
        <v>77</v>
      </c>
      <c r="F27" s="325">
        <v>2</v>
      </c>
      <c r="G27" s="43"/>
      <c r="H27" s="41"/>
      <c r="I27" s="42"/>
      <c r="J27" s="844" t="s">
        <v>260</v>
      </c>
      <c r="K27" s="845"/>
      <c r="L27" s="845"/>
      <c r="M27" s="41" t="s">
        <v>261</v>
      </c>
      <c r="N27" s="41" t="s">
        <v>262</v>
      </c>
      <c r="O27" s="41" t="s">
        <v>263</v>
      </c>
      <c r="P27" s="42"/>
      <c r="Q27" s="815"/>
      <c r="R27" s="232" t="s">
        <v>90</v>
      </c>
      <c r="S27" s="41"/>
      <c r="T27" s="199"/>
      <c r="U27" s="41"/>
      <c r="V27" s="41"/>
      <c r="W27" s="41"/>
      <c r="X27" s="896"/>
      <c r="Y27" s="897"/>
      <c r="Z27" s="898"/>
      <c r="AA27" s="41"/>
      <c r="AB27" s="41"/>
      <c r="AC27" s="41"/>
      <c r="AD27" s="233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44"/>
      <c r="AT27" s="44"/>
    </row>
    <row r="28" spans="1:46" s="45" customFormat="1" ht="29.25" customHeight="1" x14ac:dyDescent="0.2">
      <c r="D28" s="891"/>
      <c r="E28" s="46" t="s">
        <v>109</v>
      </c>
      <c r="F28" s="47">
        <v>2</v>
      </c>
      <c r="G28" s="48"/>
      <c r="H28" s="49" t="s">
        <v>76</v>
      </c>
      <c r="I28" s="50"/>
      <c r="J28" s="862" t="s">
        <v>264</v>
      </c>
      <c r="K28" s="863"/>
      <c r="L28" s="863"/>
      <c r="M28" s="49" t="s">
        <v>265</v>
      </c>
      <c r="N28" s="49" t="s">
        <v>245</v>
      </c>
      <c r="O28" s="49" t="s">
        <v>266</v>
      </c>
      <c r="P28" s="50"/>
      <c r="Q28" s="815"/>
      <c r="R28" s="234" t="s">
        <v>92</v>
      </c>
      <c r="S28" s="61"/>
      <c r="T28" s="199"/>
      <c r="U28" s="61"/>
      <c r="V28" s="61"/>
      <c r="W28" s="61"/>
      <c r="X28" s="899"/>
      <c r="Y28" s="900"/>
      <c r="Z28" s="901"/>
      <c r="AA28" s="61"/>
      <c r="AB28" s="61"/>
      <c r="AC28" s="61"/>
      <c r="AD28" s="235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51"/>
      <c r="AT28" s="51"/>
    </row>
    <row r="29" spans="1:46" s="24" customFormat="1" ht="17.25" customHeight="1" x14ac:dyDescent="0.25">
      <c r="D29" s="891"/>
      <c r="E29" s="807" t="s">
        <v>93</v>
      </c>
      <c r="F29" s="808"/>
      <c r="G29" s="809"/>
      <c r="H29" s="809"/>
      <c r="I29" s="810"/>
      <c r="J29" s="846" t="s">
        <v>56</v>
      </c>
      <c r="K29" s="847"/>
      <c r="L29" s="847"/>
      <c r="M29" s="847"/>
      <c r="N29" s="847"/>
      <c r="O29" s="847"/>
      <c r="P29" s="848"/>
      <c r="Q29" s="457"/>
      <c r="R29" s="855" t="s">
        <v>93</v>
      </c>
      <c r="S29" s="856"/>
      <c r="T29" s="856"/>
      <c r="U29" s="856"/>
      <c r="V29" s="856"/>
      <c r="W29" s="857"/>
      <c r="X29" s="823" t="s">
        <v>56</v>
      </c>
      <c r="Y29" s="824"/>
      <c r="Z29" s="824"/>
      <c r="AA29" s="824"/>
      <c r="AB29" s="824"/>
      <c r="AC29" s="824"/>
      <c r="AD29" s="826"/>
      <c r="AE29" s="316"/>
      <c r="AF29" s="316"/>
      <c r="AG29" s="316"/>
      <c r="AH29" s="316"/>
      <c r="AI29" s="316"/>
      <c r="AJ29" s="316"/>
      <c r="AK29" s="316"/>
      <c r="AL29" s="316"/>
      <c r="AM29" s="316"/>
      <c r="AN29" s="316"/>
      <c r="AO29" s="316"/>
      <c r="AP29" s="316"/>
      <c r="AQ29" s="316"/>
      <c r="AR29" s="316"/>
      <c r="AS29" s="71"/>
      <c r="AT29" s="23"/>
    </row>
    <row r="30" spans="1:46" s="29" customFormat="1" ht="15" customHeight="1" x14ac:dyDescent="0.2">
      <c r="D30" s="891"/>
      <c r="E30" s="25" t="s">
        <v>48</v>
      </c>
      <c r="F30" s="30" t="s">
        <v>239</v>
      </c>
      <c r="G30" s="26" t="s">
        <v>50</v>
      </c>
      <c r="H30" s="27" t="s">
        <v>52</v>
      </c>
      <c r="I30" s="327" t="s">
        <v>240</v>
      </c>
      <c r="J30" s="801" t="s">
        <v>180</v>
      </c>
      <c r="K30" s="802"/>
      <c r="L30" s="802"/>
      <c r="M30" s="26" t="s">
        <v>174</v>
      </c>
      <c r="N30" s="26" t="s">
        <v>175</v>
      </c>
      <c r="O30" s="26" t="s">
        <v>176</v>
      </c>
      <c r="P30" s="34" t="s">
        <v>177</v>
      </c>
      <c r="Q30" s="457"/>
      <c r="R30" s="236" t="s">
        <v>48</v>
      </c>
      <c r="S30" s="86" t="s">
        <v>239</v>
      </c>
      <c r="T30" s="87" t="s">
        <v>50</v>
      </c>
      <c r="U30" s="160" t="s">
        <v>52</v>
      </c>
      <c r="V30" s="88" t="s">
        <v>241</v>
      </c>
      <c r="W30" s="132" t="s">
        <v>242</v>
      </c>
      <c r="X30" s="827" t="s">
        <v>180</v>
      </c>
      <c r="Y30" s="828"/>
      <c r="Z30" s="829"/>
      <c r="AA30" s="87" t="s">
        <v>174</v>
      </c>
      <c r="AB30" s="87" t="s">
        <v>175</v>
      </c>
      <c r="AC30" s="87" t="s">
        <v>176</v>
      </c>
      <c r="AD30" s="237" t="s">
        <v>177</v>
      </c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28"/>
      <c r="AT30" s="28"/>
    </row>
    <row r="31" spans="1:46" s="10" customFormat="1" ht="15" customHeight="1" x14ac:dyDescent="0.2">
      <c r="D31" s="891"/>
      <c r="E31" s="11" t="s">
        <v>94</v>
      </c>
      <c r="F31" s="314">
        <v>1</v>
      </c>
      <c r="G31" s="14"/>
      <c r="H31" s="12" t="s">
        <v>72</v>
      </c>
      <c r="I31" s="31"/>
      <c r="J31" s="820" t="s">
        <v>267</v>
      </c>
      <c r="K31" s="814"/>
      <c r="L31" s="814"/>
      <c r="M31" s="12" t="s">
        <v>268</v>
      </c>
      <c r="N31" s="12" t="s">
        <v>268</v>
      </c>
      <c r="O31" s="12"/>
      <c r="P31" s="31"/>
      <c r="Q31" s="457"/>
      <c r="R31" s="220" t="s">
        <v>94</v>
      </c>
      <c r="S31" s="314">
        <v>1</v>
      </c>
      <c r="T31" s="14"/>
      <c r="U31" s="12" t="s">
        <v>72</v>
      </c>
      <c r="V31" s="31"/>
      <c r="W31" s="31"/>
      <c r="X31" s="841" t="s">
        <v>34</v>
      </c>
      <c r="Y31" s="842"/>
      <c r="Z31" s="843"/>
      <c r="AA31" s="12" t="s">
        <v>269</v>
      </c>
      <c r="AB31" s="64" t="s">
        <v>270</v>
      </c>
      <c r="AC31" s="12" t="s">
        <v>271</v>
      </c>
      <c r="AD31" s="224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13"/>
      <c r="AT31" s="13"/>
    </row>
    <row r="32" spans="1:46" ht="15" customHeight="1" x14ac:dyDescent="0.2">
      <c r="D32" s="891"/>
      <c r="E32" s="161" t="s">
        <v>70</v>
      </c>
      <c r="F32" s="157">
        <v>2</v>
      </c>
      <c r="G32" s="162"/>
      <c r="H32" s="159" t="s">
        <v>72</v>
      </c>
      <c r="I32" s="79"/>
      <c r="J32" s="860" t="s">
        <v>272</v>
      </c>
      <c r="K32" s="861"/>
      <c r="L32" s="861"/>
      <c r="M32" s="159" t="s">
        <v>273</v>
      </c>
      <c r="N32" s="159"/>
      <c r="O32" s="159"/>
      <c r="P32" s="79"/>
      <c r="Q32" s="457"/>
      <c r="R32" s="225" t="s">
        <v>70</v>
      </c>
      <c r="S32" s="175">
        <v>2</v>
      </c>
      <c r="T32" s="14"/>
      <c r="U32" s="3" t="s">
        <v>72</v>
      </c>
      <c r="V32" s="3"/>
      <c r="W32" s="3"/>
      <c r="X32" s="787" t="s">
        <v>34</v>
      </c>
      <c r="Y32" s="787"/>
      <c r="Z32" s="787"/>
      <c r="AA32" s="3" t="s">
        <v>274</v>
      </c>
      <c r="AB32" s="64"/>
      <c r="AC32" s="168"/>
      <c r="AD32" s="238"/>
      <c r="AS32" s="1"/>
      <c r="AT32" s="1"/>
    </row>
    <row r="33" spans="4:60" s="12" customFormat="1" ht="15" customHeight="1" x14ac:dyDescent="0.2">
      <c r="D33" s="891"/>
      <c r="E33" s="12" t="s">
        <v>102</v>
      </c>
      <c r="F33" s="166">
        <v>2</v>
      </c>
      <c r="J33" s="811"/>
      <c r="K33" s="811"/>
      <c r="L33" s="811"/>
      <c r="M33" s="12" t="s">
        <v>275</v>
      </c>
      <c r="Q33" s="457"/>
      <c r="R33" s="220" t="s">
        <v>97</v>
      </c>
      <c r="S33" s="166">
        <v>1</v>
      </c>
      <c r="T33" s="14"/>
      <c r="X33" s="814"/>
      <c r="Y33" s="814"/>
      <c r="Z33" s="814"/>
      <c r="AA33" s="195" t="s">
        <v>256</v>
      </c>
      <c r="AB33" s="16"/>
      <c r="AD33" s="31"/>
      <c r="AE33" s="78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16"/>
    </row>
    <row r="34" spans="4:60" ht="15" customHeight="1" x14ac:dyDescent="0.2">
      <c r="D34" s="891"/>
      <c r="E34" s="169" t="s">
        <v>97</v>
      </c>
      <c r="F34" s="170">
        <v>1</v>
      </c>
      <c r="G34" s="171"/>
      <c r="H34" s="172"/>
      <c r="I34" s="173"/>
      <c r="J34" s="812" t="s">
        <v>276</v>
      </c>
      <c r="K34" s="813"/>
      <c r="L34" s="813"/>
      <c r="M34" s="64" t="s">
        <v>256</v>
      </c>
      <c r="N34" s="172"/>
      <c r="O34" s="172"/>
      <c r="P34" s="173"/>
      <c r="Q34" s="457"/>
      <c r="R34" s="239"/>
      <c r="S34" s="84"/>
      <c r="T34" s="84"/>
      <c r="U34" s="84"/>
      <c r="V34" s="84"/>
      <c r="W34" s="84"/>
      <c r="X34" s="785"/>
      <c r="Y34" s="735"/>
      <c r="Z34" s="736"/>
      <c r="AA34" s="84"/>
      <c r="AB34" s="174"/>
      <c r="AC34" s="172"/>
      <c r="AD34" s="240"/>
      <c r="AS34" s="1"/>
      <c r="AT34" s="1"/>
    </row>
    <row r="35" spans="4:60" s="24" customFormat="1" ht="17.25" customHeight="1" x14ac:dyDescent="0.25">
      <c r="D35" s="891"/>
      <c r="E35" s="807" t="s">
        <v>277</v>
      </c>
      <c r="F35" s="808"/>
      <c r="G35" s="809"/>
      <c r="H35" s="809"/>
      <c r="I35" s="810"/>
      <c r="J35" s="846" t="s">
        <v>56</v>
      </c>
      <c r="K35" s="847"/>
      <c r="L35" s="847"/>
      <c r="M35" s="847"/>
      <c r="N35" s="847"/>
      <c r="O35" s="847"/>
      <c r="P35" s="848"/>
      <c r="Q35" s="457"/>
      <c r="R35" s="855" t="s">
        <v>277</v>
      </c>
      <c r="S35" s="856"/>
      <c r="T35" s="856"/>
      <c r="U35" s="856"/>
      <c r="V35" s="856"/>
      <c r="W35" s="857"/>
      <c r="X35" s="823" t="s">
        <v>56</v>
      </c>
      <c r="Y35" s="824"/>
      <c r="Z35" s="824"/>
      <c r="AA35" s="824"/>
      <c r="AB35" s="825"/>
      <c r="AC35" s="825"/>
      <c r="AD35" s="826"/>
      <c r="AE35" s="316"/>
      <c r="AF35" s="316"/>
      <c r="AG35" s="316"/>
      <c r="AH35" s="316"/>
      <c r="AI35" s="316"/>
      <c r="AJ35" s="316"/>
      <c r="AK35" s="316"/>
      <c r="AL35" s="316"/>
      <c r="AM35" s="316"/>
      <c r="AN35" s="316"/>
      <c r="AO35" s="316"/>
      <c r="AP35" s="316"/>
      <c r="AQ35" s="316"/>
      <c r="AR35" s="316"/>
      <c r="AS35" s="321"/>
      <c r="AT35" s="21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</row>
    <row r="36" spans="4:60" s="29" customFormat="1" ht="15" customHeight="1" x14ac:dyDescent="0.2">
      <c r="D36" s="891"/>
      <c r="E36" s="25" t="s">
        <v>48</v>
      </c>
      <c r="F36" s="30" t="s">
        <v>239</v>
      </c>
      <c r="G36" s="26" t="s">
        <v>50</v>
      </c>
      <c r="H36" s="27" t="s">
        <v>52</v>
      </c>
      <c r="I36" s="327" t="s">
        <v>240</v>
      </c>
      <c r="J36" s="801" t="s">
        <v>180</v>
      </c>
      <c r="K36" s="802"/>
      <c r="L36" s="802"/>
      <c r="M36" s="26" t="s">
        <v>174</v>
      </c>
      <c r="N36" s="26" t="s">
        <v>175</v>
      </c>
      <c r="O36" s="26" t="s">
        <v>176</v>
      </c>
      <c r="P36" s="34" t="s">
        <v>177</v>
      </c>
      <c r="Q36" s="457"/>
      <c r="R36" s="222" t="s">
        <v>48</v>
      </c>
      <c r="S36" s="30" t="s">
        <v>239</v>
      </c>
      <c r="T36" s="26" t="s">
        <v>50</v>
      </c>
      <c r="U36" s="27" t="s">
        <v>52</v>
      </c>
      <c r="V36" s="327" t="s">
        <v>241</v>
      </c>
      <c r="W36" s="132" t="s">
        <v>242</v>
      </c>
      <c r="X36" s="830" t="s">
        <v>180</v>
      </c>
      <c r="Y36" s="831"/>
      <c r="Z36" s="832"/>
      <c r="AA36" s="26" t="s">
        <v>174</v>
      </c>
      <c r="AB36" s="26" t="s">
        <v>175</v>
      </c>
      <c r="AC36" s="26" t="s">
        <v>176</v>
      </c>
      <c r="AD36" s="223" t="s">
        <v>177</v>
      </c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67"/>
      <c r="AT36" s="30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</row>
    <row r="37" spans="4:60" s="194" customFormat="1" ht="27.75" customHeight="1" x14ac:dyDescent="0.2">
      <c r="D37" s="891"/>
      <c r="E37" s="188" t="s">
        <v>64</v>
      </c>
      <c r="F37" s="189">
        <v>5</v>
      </c>
      <c r="G37" s="190"/>
      <c r="H37" s="190" t="s">
        <v>66</v>
      </c>
      <c r="I37" s="191"/>
      <c r="J37" s="833" t="s">
        <v>278</v>
      </c>
      <c r="K37" s="834"/>
      <c r="L37" s="834"/>
      <c r="M37" s="190" t="s">
        <v>279</v>
      </c>
      <c r="N37" s="190" t="s">
        <v>245</v>
      </c>
      <c r="O37" s="190" t="s">
        <v>280</v>
      </c>
      <c r="P37" s="191"/>
      <c r="Q37" s="457"/>
      <c r="R37" s="241" t="s">
        <v>64</v>
      </c>
      <c r="S37" s="189">
        <v>5</v>
      </c>
      <c r="T37" s="40"/>
      <c r="U37" s="190" t="s">
        <v>66</v>
      </c>
      <c r="V37" s="191"/>
      <c r="W37" s="191"/>
      <c r="X37" s="835" t="s">
        <v>197</v>
      </c>
      <c r="Y37" s="836"/>
      <c r="Z37" s="837"/>
      <c r="AA37" s="190" t="s">
        <v>281</v>
      </c>
      <c r="AB37" s="190"/>
      <c r="AC37" s="190" t="s">
        <v>280</v>
      </c>
      <c r="AD37" s="242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193"/>
      <c r="AT37" s="192"/>
      <c r="AU37" s="190"/>
      <c r="AV37" s="190"/>
      <c r="AW37" s="190"/>
      <c r="AX37" s="190"/>
      <c r="AY37" s="190"/>
      <c r="AZ37" s="190"/>
      <c r="BA37" s="190"/>
      <c r="BB37" s="190"/>
      <c r="BC37" s="190"/>
      <c r="BD37" s="190"/>
      <c r="BE37" s="190"/>
      <c r="BF37" s="190"/>
      <c r="BG37" s="190"/>
      <c r="BH37" s="190"/>
    </row>
    <row r="38" spans="4:60" ht="15" customHeight="1" x14ac:dyDescent="0.2">
      <c r="D38" s="891"/>
      <c r="E38" s="2" t="s">
        <v>75</v>
      </c>
      <c r="F38" s="37">
        <v>1</v>
      </c>
      <c r="G38" s="14"/>
      <c r="H38" s="3" t="s">
        <v>76</v>
      </c>
      <c r="I38" s="32"/>
      <c r="J38" s="786" t="s">
        <v>282</v>
      </c>
      <c r="K38" s="787"/>
      <c r="L38" s="787"/>
      <c r="M38" s="3" t="s">
        <v>244</v>
      </c>
      <c r="N38" s="3" t="s">
        <v>245</v>
      </c>
      <c r="O38" s="3"/>
      <c r="P38" s="32"/>
      <c r="Q38" s="457"/>
      <c r="R38" s="220" t="s">
        <v>82</v>
      </c>
      <c r="S38" s="314">
        <v>2</v>
      </c>
      <c r="T38" s="14"/>
      <c r="U38" s="12"/>
      <c r="V38" s="31"/>
      <c r="W38" s="31"/>
      <c r="X38" s="841"/>
      <c r="Y38" s="842"/>
      <c r="Z38" s="843"/>
      <c r="AA38" s="12"/>
      <c r="AB38" s="12"/>
      <c r="AC38" s="12"/>
      <c r="AD38" s="224"/>
      <c r="AS38" s="73"/>
      <c r="AT38" s="17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spans="4:60" s="10" customFormat="1" ht="15" customHeight="1" x14ac:dyDescent="0.2">
      <c r="D39" s="891"/>
      <c r="E39" s="11" t="s">
        <v>113</v>
      </c>
      <c r="F39" s="292">
        <v>4</v>
      </c>
      <c r="G39" s="15"/>
      <c r="H39" s="12"/>
      <c r="I39" s="31"/>
      <c r="J39" s="819" t="s">
        <v>264</v>
      </c>
      <c r="K39" s="811"/>
      <c r="L39" s="811"/>
      <c r="M39" s="12" t="s">
        <v>283</v>
      </c>
      <c r="N39" s="12"/>
      <c r="O39" s="12"/>
      <c r="P39" s="31"/>
      <c r="Q39" s="457"/>
      <c r="R39" s="234" t="s">
        <v>106</v>
      </c>
      <c r="S39" s="326">
        <v>1</v>
      </c>
      <c r="T39" s="40"/>
      <c r="U39" s="61" t="s">
        <v>107</v>
      </c>
      <c r="V39" s="62"/>
      <c r="W39" s="62"/>
      <c r="X39" s="838" t="s">
        <v>284</v>
      </c>
      <c r="Y39" s="839"/>
      <c r="Z39" s="840"/>
      <c r="AA39" s="63"/>
      <c r="AB39" s="61"/>
      <c r="AC39" s="84"/>
      <c r="AD39" s="243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68"/>
      <c r="AT39" s="16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</row>
    <row r="40" spans="4:60" s="10" customFormat="1" ht="15" customHeight="1" x14ac:dyDescent="0.2">
      <c r="D40" s="891"/>
      <c r="E40" s="11" t="s">
        <v>111</v>
      </c>
      <c r="F40" s="314">
        <v>3</v>
      </c>
      <c r="G40" s="12"/>
      <c r="H40" s="12"/>
      <c r="I40" s="31"/>
      <c r="J40" s="820" t="s">
        <v>285</v>
      </c>
      <c r="K40" s="814"/>
      <c r="L40" s="814"/>
      <c r="M40" s="12" t="s">
        <v>256</v>
      </c>
      <c r="N40" s="12"/>
      <c r="O40" s="12"/>
      <c r="P40" s="31"/>
      <c r="Q40" s="457"/>
      <c r="R40" s="232" t="s">
        <v>77</v>
      </c>
      <c r="S40" s="325">
        <v>2</v>
      </c>
      <c r="T40" s="43"/>
      <c r="U40" s="41"/>
      <c r="V40" s="42"/>
      <c r="W40" s="42"/>
      <c r="X40" s="821" t="s">
        <v>286</v>
      </c>
      <c r="Y40" s="822"/>
      <c r="Z40" s="822"/>
      <c r="AA40" s="186" t="s">
        <v>287</v>
      </c>
      <c r="AB40" s="16"/>
      <c r="AC40" s="12"/>
      <c r="AD40" s="224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68"/>
      <c r="AT40" s="16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</row>
    <row r="41" spans="4:60" s="89" customFormat="1" ht="15" customHeight="1" x14ac:dyDescent="0.2">
      <c r="D41" s="891"/>
      <c r="E41" s="181"/>
      <c r="F41" s="182"/>
      <c r="G41" s="183"/>
      <c r="H41" s="183"/>
      <c r="I41" s="184"/>
      <c r="J41" s="816"/>
      <c r="K41" s="817"/>
      <c r="L41" s="818"/>
      <c r="M41" s="183"/>
      <c r="N41" s="183"/>
      <c r="O41" s="183"/>
      <c r="P41" s="184"/>
      <c r="Q41" s="457"/>
      <c r="R41" s="244"/>
      <c r="S41" s="182"/>
      <c r="T41" s="183"/>
      <c r="U41" s="183"/>
      <c r="V41" s="184"/>
      <c r="W41" s="184"/>
      <c r="X41" s="816"/>
      <c r="Y41" s="817"/>
      <c r="Z41" s="818"/>
      <c r="AA41" s="187"/>
      <c r="AB41" s="183"/>
      <c r="AC41" s="183"/>
      <c r="AD41" s="245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185"/>
      <c r="AT41" s="115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</row>
    <row r="42" spans="4:60" ht="24.75" hidden="1" customHeight="1" x14ac:dyDescent="0.2">
      <c r="D42" s="891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75"/>
      <c r="Q42" s="457"/>
      <c r="R42" s="246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47"/>
      <c r="AS42" s="76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</row>
    <row r="43" spans="4:60" ht="24.75" hidden="1" customHeight="1" x14ac:dyDescent="0.2">
      <c r="D43" s="89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2"/>
      <c r="Q43" s="457"/>
      <c r="R43" s="225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248"/>
      <c r="AS43" s="17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spans="4:60" ht="24.75" hidden="1" customHeight="1" x14ac:dyDescent="0.2">
      <c r="D44" s="89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2"/>
      <c r="Q44" s="457"/>
      <c r="R44" s="225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248"/>
      <c r="AS44" s="17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spans="4:60" ht="24.75" hidden="1" customHeight="1" x14ac:dyDescent="0.2">
      <c r="D45" s="89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2"/>
      <c r="Q45" s="457"/>
      <c r="R45" s="225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248"/>
      <c r="AS45" s="17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spans="4:60" ht="24.75" hidden="1" customHeight="1" x14ac:dyDescent="0.2">
      <c r="D46" s="89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2"/>
      <c r="Q46" s="457"/>
      <c r="R46" s="225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248"/>
      <c r="AS46" s="17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spans="4:60" ht="24.75" hidden="1" customHeight="1" x14ac:dyDescent="0.2">
      <c r="D47" s="89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2"/>
      <c r="Q47" s="457"/>
      <c r="R47" s="225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248"/>
      <c r="AS47" s="17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spans="4:60" ht="24.75" hidden="1" customHeight="1" x14ac:dyDescent="0.2">
      <c r="D48" s="89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2"/>
      <c r="Q48" s="457"/>
      <c r="R48" s="225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248"/>
      <c r="AS48" s="17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</row>
    <row r="49" spans="1:60" ht="24.75" hidden="1" customHeight="1" x14ac:dyDescent="0.2">
      <c r="D49" s="89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2"/>
      <c r="Q49" s="457"/>
      <c r="R49" s="225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248"/>
      <c r="AS49" s="17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</row>
    <row r="50" spans="1:60" ht="24.75" hidden="1" customHeight="1" x14ac:dyDescent="0.2">
      <c r="D50" s="891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2"/>
      <c r="Q50" s="457"/>
      <c r="R50" s="225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248"/>
      <c r="AS50" s="17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spans="1:60" ht="24.75" hidden="1" customHeight="1" x14ac:dyDescent="0.2">
      <c r="D51" s="89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2"/>
      <c r="Q51" s="457"/>
      <c r="R51" s="225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248"/>
      <c r="AS51" s="17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  <row r="52" spans="1:60" ht="24.75" hidden="1" customHeight="1" x14ac:dyDescent="0.2">
      <c r="D52" s="891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2"/>
      <c r="Q52" s="457"/>
      <c r="R52" s="225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248"/>
      <c r="AS52" s="17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</row>
    <row r="53" spans="1:60" ht="24.75" hidden="1" customHeight="1" x14ac:dyDescent="0.2">
      <c r="D53" s="891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2"/>
      <c r="Q53" s="457"/>
      <c r="R53" s="225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248"/>
      <c r="AS53" s="17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 spans="1:60" ht="24.75" hidden="1" customHeight="1" x14ac:dyDescent="0.2">
      <c r="D54" s="891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2"/>
      <c r="Q54" s="457"/>
      <c r="R54" s="225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248"/>
      <c r="AS54" s="17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</row>
    <row r="55" spans="1:60" ht="24.75" hidden="1" customHeight="1" x14ac:dyDescent="0.2">
      <c r="D55" s="891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2"/>
      <c r="Q55" s="457"/>
      <c r="R55" s="225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248"/>
      <c r="AS55" s="17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</row>
    <row r="56" spans="1:60" ht="24.75" hidden="1" customHeight="1" x14ac:dyDescent="0.2">
      <c r="D56" s="891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79"/>
      <c r="Q56" s="457"/>
      <c r="R56" s="225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249"/>
      <c r="AS56" s="17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</row>
    <row r="57" spans="1:60" ht="15" customHeight="1" x14ac:dyDescent="0.25">
      <c r="D57" s="891"/>
      <c r="E57" s="807" t="s">
        <v>288</v>
      </c>
      <c r="F57" s="808"/>
      <c r="G57" s="809"/>
      <c r="H57" s="809"/>
      <c r="I57" s="810"/>
      <c r="J57" s="846" t="s">
        <v>56</v>
      </c>
      <c r="K57" s="847"/>
      <c r="L57" s="847"/>
      <c r="M57" s="847"/>
      <c r="N57" s="847"/>
      <c r="O57" s="847"/>
      <c r="P57" s="848"/>
      <c r="Q57" s="457"/>
      <c r="R57" s="805" t="s">
        <v>288</v>
      </c>
      <c r="S57" s="806"/>
      <c r="T57" s="806"/>
      <c r="U57" s="806"/>
      <c r="V57" s="806"/>
      <c r="W57" s="849"/>
      <c r="X57" s="850" t="s">
        <v>56</v>
      </c>
      <c r="Y57" s="825"/>
      <c r="Z57" s="825"/>
      <c r="AA57" s="825"/>
      <c r="AB57" s="825"/>
      <c r="AC57" s="825"/>
      <c r="AD57" s="826"/>
    </row>
    <row r="58" spans="1:60" ht="15" customHeight="1" x14ac:dyDescent="0.2">
      <c r="D58" s="891"/>
      <c r="E58" s="25" t="s">
        <v>48</v>
      </c>
      <c r="F58" s="30" t="s">
        <v>239</v>
      </c>
      <c r="G58" s="26" t="s">
        <v>50</v>
      </c>
      <c r="H58" s="27" t="s">
        <v>52</v>
      </c>
      <c r="I58" s="327" t="s">
        <v>240</v>
      </c>
      <c r="J58" s="801" t="s">
        <v>180</v>
      </c>
      <c r="K58" s="802"/>
      <c r="L58" s="802"/>
      <c r="M58" s="26" t="s">
        <v>174</v>
      </c>
      <c r="N58" s="26" t="s">
        <v>175</v>
      </c>
      <c r="O58" s="26" t="s">
        <v>176</v>
      </c>
      <c r="P58" s="34" t="s">
        <v>177</v>
      </c>
      <c r="Q58" s="278" t="s">
        <v>26</v>
      </c>
      <c r="R58" s="222" t="s">
        <v>48</v>
      </c>
      <c r="S58" s="30" t="s">
        <v>239</v>
      </c>
      <c r="T58" s="26" t="s">
        <v>50</v>
      </c>
      <c r="U58" s="27" t="s">
        <v>52</v>
      </c>
      <c r="V58" s="327" t="s">
        <v>241</v>
      </c>
      <c r="W58" s="132" t="s">
        <v>242</v>
      </c>
      <c r="X58" s="830" t="s">
        <v>180</v>
      </c>
      <c r="Y58" s="831"/>
      <c r="Z58" s="832"/>
      <c r="AA58" s="26" t="s">
        <v>174</v>
      </c>
      <c r="AB58" s="26" t="s">
        <v>175</v>
      </c>
      <c r="AC58" s="26" t="s">
        <v>176</v>
      </c>
      <c r="AD58" s="223" t="s">
        <v>177</v>
      </c>
    </row>
    <row r="59" spans="1:60" ht="15" customHeight="1" x14ac:dyDescent="0.2">
      <c r="D59" s="891"/>
      <c r="E59" s="39"/>
      <c r="F59" s="325"/>
      <c r="G59" s="41"/>
      <c r="H59" s="41"/>
      <c r="I59" s="42"/>
      <c r="J59" s="844"/>
      <c r="K59" s="845"/>
      <c r="L59" s="845"/>
      <c r="M59" s="41"/>
      <c r="N59" s="41"/>
      <c r="O59" s="41"/>
      <c r="P59" s="42"/>
      <c r="Q59" s="177">
        <f>COUNTA(R19:R22,R25:R28,R31:R34,R37:R41,R59:R63,R66:R68,R74:R85,R88:R94)</f>
        <v>36</v>
      </c>
      <c r="R59" s="229" t="s">
        <v>101</v>
      </c>
      <c r="S59" s="292">
        <v>6</v>
      </c>
      <c r="T59" s="158"/>
      <c r="U59" s="163"/>
      <c r="V59" s="164"/>
      <c r="W59" s="164"/>
      <c r="X59" s="852" t="s">
        <v>39</v>
      </c>
      <c r="Y59" s="853"/>
      <c r="Z59" s="854"/>
      <c r="AA59" s="163" t="s">
        <v>33</v>
      </c>
      <c r="AB59" s="41"/>
      <c r="AC59" s="41"/>
      <c r="AD59" s="250"/>
    </row>
    <row r="60" spans="1:60" ht="15" customHeight="1" x14ac:dyDescent="0.2">
      <c r="D60" s="891"/>
      <c r="E60" s="2"/>
      <c r="F60" s="37"/>
      <c r="G60" s="84"/>
      <c r="H60" s="3"/>
      <c r="I60" s="32"/>
      <c r="J60" s="786"/>
      <c r="K60" s="787"/>
      <c r="L60" s="787"/>
      <c r="M60" s="3"/>
      <c r="N60" s="3"/>
      <c r="O60" s="3"/>
      <c r="P60" s="32"/>
      <c r="Q60" s="177" t="s">
        <v>289</v>
      </c>
      <c r="R60" s="239" t="s">
        <v>113</v>
      </c>
      <c r="S60" s="320">
        <v>4</v>
      </c>
      <c r="T60" s="167"/>
      <c r="U60" s="84"/>
      <c r="V60" s="84"/>
      <c r="W60" s="84"/>
      <c r="X60" s="851" t="s">
        <v>290</v>
      </c>
      <c r="Y60" s="851"/>
      <c r="Z60" s="851"/>
      <c r="AA60" s="115" t="s">
        <v>291</v>
      </c>
      <c r="AB60" s="84"/>
      <c r="AC60" s="84"/>
      <c r="AD60" s="243"/>
    </row>
    <row r="61" spans="1:60" s="10" customFormat="1" ht="15" customHeight="1" x14ac:dyDescent="0.2">
      <c r="A61"/>
      <c r="B61"/>
      <c r="C61"/>
      <c r="D61" s="891"/>
      <c r="E61" s="11"/>
      <c r="F61" s="292"/>
      <c r="G61" s="12"/>
      <c r="H61" s="12"/>
      <c r="I61" s="31"/>
      <c r="J61" s="819"/>
      <c r="K61" s="811"/>
      <c r="L61" s="811"/>
      <c r="M61" s="12"/>
      <c r="N61" s="12"/>
      <c r="O61" s="12"/>
      <c r="P61" s="31"/>
      <c r="Q61" s="177">
        <f>COUNTA(R74:R85)</f>
        <v>11</v>
      </c>
      <c r="R61" s="220" t="s">
        <v>102</v>
      </c>
      <c r="S61" s="166">
        <v>2</v>
      </c>
      <c r="T61" s="167"/>
      <c r="U61" s="12"/>
      <c r="V61" s="12"/>
      <c r="W61" s="12"/>
      <c r="X61" s="811"/>
      <c r="Y61" s="811"/>
      <c r="Z61" s="811"/>
      <c r="AA61" s="16" t="s">
        <v>275</v>
      </c>
      <c r="AB61" s="12"/>
      <c r="AC61" s="12"/>
      <c r="AD61" s="224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</row>
    <row r="62" spans="1:60" ht="15" customHeight="1" x14ac:dyDescent="0.2">
      <c r="D62" s="891"/>
      <c r="E62" s="2"/>
      <c r="F62" s="37"/>
      <c r="G62" s="85"/>
      <c r="H62" s="3"/>
      <c r="I62" s="32"/>
      <c r="J62" s="786"/>
      <c r="K62" s="787"/>
      <c r="L62" s="787"/>
      <c r="M62" s="3"/>
      <c r="N62" s="3"/>
      <c r="O62" s="3"/>
      <c r="P62" s="32"/>
      <c r="Q62" s="177" t="s">
        <v>292</v>
      </c>
      <c r="R62" s="239"/>
      <c r="S62" s="84"/>
      <c r="T62" s="84"/>
      <c r="U62" s="84"/>
      <c r="V62" s="84"/>
      <c r="W62" s="84"/>
      <c r="X62" s="788"/>
      <c r="Y62" s="788"/>
      <c r="Z62" s="788"/>
      <c r="AD62" s="248"/>
    </row>
    <row r="63" spans="1:60" ht="15" customHeight="1" x14ac:dyDescent="0.2">
      <c r="D63" s="891"/>
      <c r="E63" s="52"/>
      <c r="F63" s="53"/>
      <c r="G63" s="54"/>
      <c r="H63" s="54"/>
      <c r="I63" s="55"/>
      <c r="J63" s="789"/>
      <c r="K63" s="763"/>
      <c r="L63" s="764"/>
      <c r="M63" s="54"/>
      <c r="N63" s="54"/>
      <c r="O63" s="54"/>
      <c r="P63" s="55"/>
      <c r="Q63" s="177">
        <f>COUNTA(R66:R68)</f>
        <v>1</v>
      </c>
      <c r="R63" s="251"/>
      <c r="S63" s="178"/>
      <c r="T63" s="179"/>
      <c r="U63" s="179"/>
      <c r="V63" s="180"/>
      <c r="W63" s="180"/>
      <c r="X63" s="790"/>
      <c r="Y63" s="615"/>
      <c r="Z63" s="791"/>
      <c r="AA63" s="54"/>
      <c r="AB63" s="54"/>
      <c r="AC63" s="54"/>
      <c r="AD63" s="252"/>
    </row>
    <row r="64" spans="1:60" ht="15" customHeight="1" x14ac:dyDescent="0.25">
      <c r="D64" s="127">
        <f>SUM(A13,A22,A29,A36)</f>
        <v>0</v>
      </c>
      <c r="E64" s="804" t="s">
        <v>125</v>
      </c>
      <c r="F64" s="804"/>
      <c r="G64" s="804"/>
      <c r="H64" s="804"/>
      <c r="I64" s="804"/>
      <c r="J64" s="82"/>
      <c r="K64" s="82"/>
      <c r="L64" s="82"/>
      <c r="M64" s="83"/>
      <c r="N64" s="83"/>
      <c r="O64" s="83"/>
      <c r="P64" s="83"/>
      <c r="Q64" s="279">
        <f>SUM(Q59)</f>
        <v>36</v>
      </c>
      <c r="R64" s="805" t="s">
        <v>125</v>
      </c>
      <c r="S64" s="806"/>
      <c r="T64" s="806"/>
      <c r="U64" s="806"/>
      <c r="V64" s="806"/>
      <c r="W64" s="806"/>
      <c r="X64" s="82"/>
      <c r="Y64" s="82"/>
      <c r="Z64" s="82"/>
      <c r="AA64" s="83"/>
      <c r="AB64" s="83"/>
      <c r="AC64" s="83"/>
      <c r="AD64" s="253"/>
    </row>
    <row r="65" spans="4:44" ht="15" customHeight="1" x14ac:dyDescent="0.2">
      <c r="D65" s="119" t="s">
        <v>241</v>
      </c>
      <c r="E65" s="118" t="s">
        <v>48</v>
      </c>
      <c r="F65" s="86" t="s">
        <v>239</v>
      </c>
      <c r="G65" s="87" t="s">
        <v>50</v>
      </c>
      <c r="H65" s="116" t="s">
        <v>52</v>
      </c>
      <c r="I65" s="88" t="s">
        <v>241</v>
      </c>
      <c r="J65" s="801" t="s">
        <v>180</v>
      </c>
      <c r="K65" s="802"/>
      <c r="L65" s="802"/>
      <c r="M65" s="26" t="s">
        <v>174</v>
      </c>
      <c r="N65" s="26" t="s">
        <v>175</v>
      </c>
      <c r="O65" s="26" t="s">
        <v>176</v>
      </c>
      <c r="P65" s="34" t="s">
        <v>177</v>
      </c>
      <c r="Q65" s="280"/>
      <c r="R65" s="254" t="s">
        <v>48</v>
      </c>
      <c r="S65" s="86" t="s">
        <v>239</v>
      </c>
      <c r="T65" s="87" t="s">
        <v>50</v>
      </c>
      <c r="U65" s="116" t="s">
        <v>52</v>
      </c>
      <c r="V65" s="117" t="s">
        <v>241</v>
      </c>
      <c r="W65" s="88"/>
      <c r="X65" s="801" t="s">
        <v>180</v>
      </c>
      <c r="Y65" s="802"/>
      <c r="Z65" s="802"/>
      <c r="AA65" s="26" t="s">
        <v>174</v>
      </c>
      <c r="AB65" s="26" t="s">
        <v>175</v>
      </c>
      <c r="AC65" s="26" t="s">
        <v>176</v>
      </c>
      <c r="AD65" s="223" t="s">
        <v>177</v>
      </c>
    </row>
    <row r="66" spans="4:44" ht="15" customHeight="1" x14ac:dyDescent="0.2">
      <c r="D66" s="120"/>
      <c r="E66" s="16"/>
      <c r="F66" s="12"/>
      <c r="G66" s="12"/>
      <c r="H66" s="12"/>
      <c r="I66" s="12"/>
      <c r="J66" s="803"/>
      <c r="K66" s="745"/>
      <c r="L66" s="733"/>
      <c r="M66" s="12"/>
      <c r="N66" s="12"/>
      <c r="O66" s="12"/>
      <c r="P66" s="31"/>
      <c r="Q66" s="281"/>
      <c r="R66" s="220" t="s">
        <v>104</v>
      </c>
      <c r="S66" s="166">
        <v>6</v>
      </c>
      <c r="T66" s="14"/>
      <c r="U66" s="12" t="s">
        <v>105</v>
      </c>
      <c r="V66" s="12" t="s">
        <v>293</v>
      </c>
      <c r="W66" s="12"/>
      <c r="X66" s="803">
        <v>1</v>
      </c>
      <c r="Y66" s="745"/>
      <c r="Z66" s="733"/>
      <c r="AA66" s="12">
        <v>1</v>
      </c>
      <c r="AB66" s="12">
        <v>1</v>
      </c>
      <c r="AC66" s="12">
        <v>1</v>
      </c>
      <c r="AD66" s="224">
        <v>1</v>
      </c>
    </row>
    <row r="67" spans="4:44" s="89" customFormat="1" ht="15" customHeight="1" x14ac:dyDescent="0.2">
      <c r="D67" s="120"/>
      <c r="E67" s="115"/>
      <c r="F67" s="84"/>
      <c r="G67" s="84"/>
      <c r="H67" s="84"/>
      <c r="I67" s="84"/>
      <c r="J67" s="785"/>
      <c r="K67" s="735"/>
      <c r="L67" s="736"/>
      <c r="M67" s="84"/>
      <c r="N67" s="84"/>
      <c r="O67" s="84"/>
      <c r="P67" s="113"/>
      <c r="Q67" s="282"/>
      <c r="R67" s="239"/>
      <c r="S67" s="84"/>
      <c r="T67" s="84"/>
      <c r="U67" s="84"/>
      <c r="V67" s="84"/>
      <c r="W67" s="84"/>
      <c r="X67" s="785"/>
      <c r="Y67" s="735"/>
      <c r="Z67" s="736"/>
      <c r="AA67" s="84"/>
      <c r="AB67" s="84"/>
      <c r="AC67" s="84"/>
      <c r="AD67" s="243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</row>
    <row r="68" spans="4:44" ht="15" customHeight="1" x14ac:dyDescent="0.2">
      <c r="D68" s="120"/>
      <c r="E68" s="53"/>
      <c r="F68" s="54"/>
      <c r="G68" s="54"/>
      <c r="H68" s="54"/>
      <c r="I68" s="54"/>
      <c r="J68" s="762"/>
      <c r="K68" s="763"/>
      <c r="L68" s="764"/>
      <c r="M68" s="54"/>
      <c r="N68" s="54"/>
      <c r="O68" s="54"/>
      <c r="P68" s="55"/>
      <c r="Q68" s="282"/>
      <c r="R68" s="255"/>
      <c r="S68" s="54"/>
      <c r="T68" s="54"/>
      <c r="U68" s="54"/>
      <c r="V68" s="54"/>
      <c r="W68" s="54"/>
      <c r="X68" s="762"/>
      <c r="Y68" s="763"/>
      <c r="Z68" s="764"/>
      <c r="AA68" s="54"/>
      <c r="AB68" s="54"/>
      <c r="AC68" s="54"/>
      <c r="AD68" s="252"/>
    </row>
    <row r="69" spans="4:44" ht="15" customHeight="1" x14ac:dyDescent="0.2">
      <c r="D69" s="121"/>
      <c r="E69" s="765" t="s">
        <v>294</v>
      </c>
      <c r="F69" s="766"/>
      <c r="G69" s="766"/>
      <c r="H69" s="766"/>
      <c r="I69" s="767"/>
      <c r="J69" s="108" t="e">
        <f>COUNTIF(J27:J62, 1)/$A$48</f>
        <v>#DIV/0!</v>
      </c>
      <c r="K69" s="108" t="e">
        <f>COUNTIF(K27:K62, 1)/$A$48</f>
        <v>#DIV/0!</v>
      </c>
      <c r="L69" s="108" t="e">
        <f>COUNTIF(L27:L62, 1)/$A$48</f>
        <v>#DIV/0!</v>
      </c>
      <c r="M69" s="108" t="e">
        <f>COUNTIF(M27:M62, 1)/$A$48</f>
        <v>#DIV/0!</v>
      </c>
      <c r="N69" s="108" t="e">
        <f>COUNTIF(N27:N62, 1)/$A$48</f>
        <v>#DIV/0!</v>
      </c>
      <c r="O69" s="108" t="e">
        <f>COUNTIF(O27:O62, 1)/$A$48</f>
        <v>#DIV/0!</v>
      </c>
      <c r="P69" s="122" t="e">
        <f>COUNTIF(P27:P62, 1)/$A$48</f>
        <v>#DIV/0!</v>
      </c>
      <c r="Q69" s="283"/>
      <c r="R69" s="768" t="s">
        <v>294</v>
      </c>
      <c r="S69" s="769"/>
      <c r="T69" s="769"/>
      <c r="U69" s="769"/>
      <c r="V69" s="769"/>
      <c r="W69" s="770"/>
      <c r="X69" s="771">
        <f>COUNTIF(X19:X68, 1)/$Q$64</f>
        <v>2.7777777777777776E-2</v>
      </c>
      <c r="Y69" s="772"/>
      <c r="Z69" s="773"/>
      <c r="AA69" s="134">
        <f>COUNTIF(AA19:AA68, 1)/$Q$64</f>
        <v>2.7777777777777776E-2</v>
      </c>
      <c r="AB69" s="134">
        <f>COUNTIF(AB19:AB68, 1)/$Q$64</f>
        <v>2.7777777777777776E-2</v>
      </c>
      <c r="AC69" s="134">
        <f>COUNTIF(AC19:AC68, 1)/$Q$64</f>
        <v>2.7777777777777776E-2</v>
      </c>
      <c r="AD69" s="256">
        <f>COUNTIF(AD19:AD68, 1)/$Q$64</f>
        <v>2.7777777777777776E-2</v>
      </c>
    </row>
    <row r="70" spans="4:44" ht="15" customHeight="1" x14ac:dyDescent="0.2">
      <c r="D70" s="121"/>
      <c r="E70" s="774" t="s">
        <v>295</v>
      </c>
      <c r="F70" s="775"/>
      <c r="G70" s="775"/>
      <c r="H70" s="775"/>
      <c r="I70" s="776"/>
      <c r="J70" s="104" t="e">
        <f>COUNTIF(J28:J68, 2)/$A$48</f>
        <v>#DIV/0!</v>
      </c>
      <c r="K70" s="104" t="e">
        <f>COUNTIF(K28:K68, 2)/$A$48</f>
        <v>#DIV/0!</v>
      </c>
      <c r="L70" s="104" t="e">
        <f>COUNTIF(L28:L68, 2)/$A$48</f>
        <v>#DIV/0!</v>
      </c>
      <c r="M70" s="104" t="e">
        <f>COUNTIF(M28:M68, 2)/$A$48</f>
        <v>#DIV/0!</v>
      </c>
      <c r="N70" s="104" t="e">
        <f>COUNTIF(N28:N68, 2)/$A$48</f>
        <v>#DIV/0!</v>
      </c>
      <c r="O70" s="104" t="e">
        <f>COUNTIF(O28:O68, 2)/$A$48</f>
        <v>#DIV/0!</v>
      </c>
      <c r="P70" s="123" t="e">
        <f>COUNTIF(P28:P68, 2)/$A$48</f>
        <v>#DIV/0!</v>
      </c>
      <c r="Q70" s="177"/>
      <c r="R70" s="777" t="s">
        <v>295</v>
      </c>
      <c r="S70" s="778"/>
      <c r="T70" s="778"/>
      <c r="U70" s="778"/>
      <c r="V70" s="778"/>
      <c r="W70" s="779"/>
      <c r="X70" s="780">
        <f>COUNTA(R74:R85)/$Q$64</f>
        <v>0.30555555555555558</v>
      </c>
      <c r="Y70" s="781"/>
      <c r="Z70" s="782"/>
      <c r="AA70" s="135">
        <f>COUNTA(R74:R85)/$Q$64</f>
        <v>0.30555555555555558</v>
      </c>
      <c r="AB70" s="135">
        <f>COUNTA(R74:R85)/$Q$64</f>
        <v>0.30555555555555558</v>
      </c>
      <c r="AC70" s="135">
        <f>COUNTA(R74:R85)/$Q$64</f>
        <v>0.30555555555555558</v>
      </c>
      <c r="AD70" s="257">
        <f>COUNTA(R74:R85)/$Q$64</f>
        <v>0.30555555555555558</v>
      </c>
    </row>
    <row r="71" spans="4:44" ht="15" customHeight="1" x14ac:dyDescent="0.2">
      <c r="D71" s="121"/>
      <c r="E71" s="792" t="s">
        <v>296</v>
      </c>
      <c r="F71" s="793"/>
      <c r="G71" s="793"/>
      <c r="H71" s="793"/>
      <c r="I71" s="794"/>
      <c r="J71" s="105" t="e">
        <f t="shared" ref="J71:P71" si="0">SUM(J69:J70)</f>
        <v>#DIV/0!</v>
      </c>
      <c r="K71" s="105" t="e">
        <f t="shared" si="0"/>
        <v>#DIV/0!</v>
      </c>
      <c r="L71" s="105" t="e">
        <f t="shared" si="0"/>
        <v>#DIV/0!</v>
      </c>
      <c r="M71" s="105" t="e">
        <f t="shared" si="0"/>
        <v>#DIV/0!</v>
      </c>
      <c r="N71" s="105" t="e">
        <f t="shared" si="0"/>
        <v>#DIV/0!</v>
      </c>
      <c r="O71" s="105" t="e">
        <f t="shared" si="0"/>
        <v>#DIV/0!</v>
      </c>
      <c r="P71" s="124" t="e">
        <f t="shared" si="0"/>
        <v>#DIV/0!</v>
      </c>
      <c r="Q71" s="284"/>
      <c r="R71" s="795" t="s">
        <v>296</v>
      </c>
      <c r="S71" s="796"/>
      <c r="T71" s="796"/>
      <c r="U71" s="796"/>
      <c r="V71" s="796"/>
      <c r="W71" s="797"/>
      <c r="X71" s="798">
        <f>SUM(X69:X70)</f>
        <v>0.33333333333333337</v>
      </c>
      <c r="Y71" s="799"/>
      <c r="Z71" s="800"/>
      <c r="AA71" s="136">
        <f>SUM(AA69:AA70)</f>
        <v>0.33333333333333337</v>
      </c>
      <c r="AB71" s="136">
        <f>SUM(AB69:AB70)</f>
        <v>0.33333333333333337</v>
      </c>
      <c r="AC71" s="136">
        <f>SUM(AC69:AC70)</f>
        <v>0.33333333333333337</v>
      </c>
      <c r="AD71" s="258">
        <f>SUM(AD69:AD70)</f>
        <v>0.33333333333333337</v>
      </c>
    </row>
    <row r="72" spans="4:44" ht="15" customHeight="1" x14ac:dyDescent="0.25">
      <c r="D72" s="121"/>
      <c r="E72" s="754" t="s">
        <v>297</v>
      </c>
      <c r="F72" s="755"/>
      <c r="G72" s="755"/>
      <c r="H72" s="755"/>
      <c r="I72" s="756"/>
      <c r="J72" s="106">
        <f>COUNTIF(J27:J52, 1)</f>
        <v>0</v>
      </c>
      <c r="K72" s="106">
        <f>COUNTIF(K27:K52, 1)</f>
        <v>0</v>
      </c>
      <c r="L72" s="106">
        <f>COUNTIF(L27:L52, 1)</f>
        <v>0</v>
      </c>
      <c r="M72" s="106">
        <f>COUNTIF(M27:M52, 1)</f>
        <v>0</v>
      </c>
      <c r="N72" s="106">
        <f>COUNTIF(N27:N52, 1)</f>
        <v>0</v>
      </c>
      <c r="O72" s="106">
        <f>COUNTIF(O27:O52, 1)</f>
        <v>0</v>
      </c>
      <c r="P72" s="125">
        <f>COUNTIF(P27:P52, 1)</f>
        <v>0</v>
      </c>
      <c r="Q72" s="284"/>
      <c r="R72" s="757" t="s">
        <v>126</v>
      </c>
      <c r="S72" s="758"/>
      <c r="T72" s="758"/>
      <c r="U72" s="758"/>
      <c r="V72" s="758"/>
      <c r="W72" s="758"/>
      <c r="X72" s="130"/>
      <c r="Y72" s="130"/>
      <c r="Z72" s="130"/>
      <c r="AA72" s="130"/>
      <c r="AB72" s="130"/>
      <c r="AC72" s="130"/>
      <c r="AD72" s="259"/>
    </row>
    <row r="73" spans="4:44" ht="15" customHeight="1" x14ac:dyDescent="0.2">
      <c r="D73" s="121"/>
      <c r="E73" s="759" t="s">
        <v>298</v>
      </c>
      <c r="F73" s="760"/>
      <c r="G73" s="760"/>
      <c r="H73" s="760"/>
      <c r="I73" s="761"/>
      <c r="J73" s="107">
        <f>COUNTIF(J27:J52, 2)</f>
        <v>0</v>
      </c>
      <c r="K73" s="107">
        <f>COUNTIF(K27:K52, 2)</f>
        <v>0</v>
      </c>
      <c r="L73" s="107">
        <f>COUNTIF(L27:L52, 2)</f>
        <v>0</v>
      </c>
      <c r="M73" s="107">
        <f>COUNTIF(M27:M52, 2)</f>
        <v>0</v>
      </c>
      <c r="N73" s="107">
        <f>COUNTIF(N27:N52, 2)</f>
        <v>0</v>
      </c>
      <c r="O73" s="107">
        <f>COUNTIF(O27:O52, 2)</f>
        <v>0</v>
      </c>
      <c r="P73" s="126">
        <f>COUNTIF(P27:P52, 2)</f>
        <v>0</v>
      </c>
      <c r="Q73" s="284"/>
      <c r="R73" s="260" t="s">
        <v>48</v>
      </c>
      <c r="S73" s="26" t="s">
        <v>239</v>
      </c>
      <c r="T73" s="26" t="s">
        <v>50</v>
      </c>
      <c r="U73" s="128" t="s">
        <v>52</v>
      </c>
      <c r="V73" s="128" t="s">
        <v>241</v>
      </c>
      <c r="W73" s="129" t="s">
        <v>299</v>
      </c>
      <c r="X73" s="319" t="s">
        <v>300</v>
      </c>
      <c r="Y73" s="783" t="s">
        <v>301</v>
      </c>
      <c r="Z73" s="784"/>
      <c r="AA73" s="128" t="s">
        <v>302</v>
      </c>
      <c r="AB73" s="129"/>
      <c r="AC73" s="131"/>
      <c r="AD73" s="261"/>
    </row>
    <row r="74" spans="4:44" s="89" customFormat="1" ht="15" customHeight="1" x14ac:dyDescent="0.2">
      <c r="D74" s="311"/>
      <c r="E74" s="77"/>
      <c r="F74" s="77"/>
      <c r="G74" s="77"/>
      <c r="H74" s="77"/>
      <c r="I74" s="77"/>
      <c r="J74" s="312"/>
      <c r="K74" s="312"/>
      <c r="L74" s="312"/>
      <c r="M74" s="77"/>
      <c r="N74" s="77"/>
      <c r="O74" s="77"/>
      <c r="P74" s="77"/>
      <c r="Q74" s="324"/>
      <c r="R74" s="262" t="s">
        <v>99</v>
      </c>
      <c r="S74" s="308">
        <v>1</v>
      </c>
      <c r="T74" s="165"/>
      <c r="U74" s="85"/>
      <c r="V74" s="85"/>
      <c r="W74" s="85"/>
      <c r="X74" s="85"/>
      <c r="Y74" s="785"/>
      <c r="Z74" s="736"/>
      <c r="AA74" s="85"/>
      <c r="AB74" s="85"/>
      <c r="AC74" s="85"/>
      <c r="AD74" s="263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</row>
    <row r="75" spans="4:44" s="89" customFormat="1" ht="15" customHeight="1" x14ac:dyDescent="0.2">
      <c r="D75" s="311"/>
      <c r="E75" s="77"/>
      <c r="F75" s="77"/>
      <c r="G75" s="77"/>
      <c r="H75" s="77"/>
      <c r="I75" s="77"/>
      <c r="J75" s="312"/>
      <c r="K75" s="312"/>
      <c r="L75" s="312"/>
      <c r="M75" s="77"/>
      <c r="N75" s="77"/>
      <c r="O75" s="77"/>
      <c r="P75" s="77"/>
      <c r="Q75" s="324"/>
      <c r="R75" s="239" t="s">
        <v>133</v>
      </c>
      <c r="S75" s="320">
        <v>2</v>
      </c>
      <c r="T75" s="84"/>
      <c r="U75" s="84"/>
      <c r="V75" s="84"/>
      <c r="W75" s="84"/>
      <c r="X75" s="84"/>
      <c r="Y75" s="908"/>
      <c r="Z75" s="909"/>
      <c r="AA75" s="84"/>
      <c r="AB75" s="84"/>
      <c r="AC75" s="84"/>
      <c r="AD75" s="243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</row>
    <row r="76" spans="4:44" ht="15" hidden="1" customHeight="1" x14ac:dyDescent="0.2">
      <c r="Q76" s="210"/>
      <c r="R76" s="239"/>
      <c r="S76" s="320"/>
      <c r="T76" s="84"/>
      <c r="U76" s="84"/>
      <c r="V76" s="84"/>
      <c r="W76" s="84"/>
      <c r="X76" s="84"/>
      <c r="Y76" s="908"/>
      <c r="Z76" s="909"/>
      <c r="AA76" s="84"/>
      <c r="AB76" s="84"/>
      <c r="AC76" s="84"/>
      <c r="AD76" s="243"/>
    </row>
    <row r="77" spans="4:44" ht="15" x14ac:dyDescent="0.2">
      <c r="Q77" s="210"/>
      <c r="R77" s="239" t="s">
        <v>303</v>
      </c>
      <c r="S77" s="320">
        <v>3</v>
      </c>
      <c r="T77" s="84"/>
      <c r="U77" s="84"/>
      <c r="V77" s="84"/>
      <c r="W77" s="84"/>
      <c r="X77" s="84"/>
      <c r="Y77" s="908"/>
      <c r="Z77" s="909"/>
      <c r="AA77" s="84"/>
      <c r="AB77" s="84"/>
      <c r="AC77" s="84"/>
      <c r="AD77" s="243"/>
    </row>
    <row r="78" spans="4:44" ht="15" x14ac:dyDescent="0.2">
      <c r="Q78" s="210"/>
      <c r="R78" s="239" t="s">
        <v>129</v>
      </c>
      <c r="S78" s="320">
        <v>3</v>
      </c>
      <c r="T78" s="14"/>
      <c r="U78" s="84"/>
      <c r="V78" s="84"/>
      <c r="W78" s="84"/>
      <c r="X78" s="84"/>
      <c r="Y78" s="908"/>
      <c r="Z78" s="909"/>
      <c r="AA78" s="84"/>
      <c r="AB78" s="84"/>
      <c r="AC78" s="84"/>
      <c r="AD78" s="243"/>
    </row>
    <row r="79" spans="4:44" ht="15" x14ac:dyDescent="0.2">
      <c r="Q79" s="210"/>
      <c r="R79" s="239" t="s">
        <v>304</v>
      </c>
      <c r="S79" s="320">
        <v>3</v>
      </c>
      <c r="T79" s="14"/>
      <c r="U79" s="84"/>
      <c r="V79" s="84"/>
      <c r="W79" s="84"/>
      <c r="X79" s="84"/>
      <c r="Y79" s="908"/>
      <c r="Z79" s="909"/>
      <c r="AA79" s="84"/>
      <c r="AB79" s="84"/>
      <c r="AC79" s="84"/>
      <c r="AD79" s="243"/>
    </row>
    <row r="80" spans="4:44" ht="15" x14ac:dyDescent="0.2">
      <c r="Q80" s="210"/>
      <c r="R80" s="239" t="s">
        <v>128</v>
      </c>
      <c r="S80" s="320">
        <v>4</v>
      </c>
      <c r="T80" s="14"/>
      <c r="U80" s="84"/>
      <c r="V80" s="84"/>
      <c r="W80" s="84"/>
      <c r="X80" s="84"/>
      <c r="Y80" s="908"/>
      <c r="Z80" s="909"/>
      <c r="AA80" s="84"/>
      <c r="AB80" s="84"/>
      <c r="AC80" s="84"/>
      <c r="AD80" s="243"/>
    </row>
    <row r="81" spans="16:45" ht="15" x14ac:dyDescent="0.2">
      <c r="Q81" s="210"/>
      <c r="R81" s="239" t="s">
        <v>100</v>
      </c>
      <c r="S81" s="320">
        <v>4</v>
      </c>
      <c r="T81" s="14"/>
      <c r="U81" s="84"/>
      <c r="V81" s="84"/>
      <c r="W81" s="84"/>
      <c r="X81" s="84"/>
      <c r="Y81" s="908"/>
      <c r="Z81" s="909"/>
      <c r="AA81" s="84"/>
      <c r="AB81" s="84"/>
      <c r="AC81" s="84"/>
      <c r="AD81" s="243"/>
    </row>
    <row r="82" spans="16:45" ht="15" x14ac:dyDescent="0.2">
      <c r="Q82" s="210"/>
      <c r="R82" s="239" t="s">
        <v>79</v>
      </c>
      <c r="S82" s="320">
        <v>5</v>
      </c>
      <c r="T82" s="84"/>
      <c r="U82" s="84"/>
      <c r="V82" s="84"/>
      <c r="W82" s="84"/>
      <c r="X82" s="84"/>
      <c r="Y82" s="908"/>
      <c r="Z82" s="909"/>
      <c r="AA82" s="84"/>
      <c r="AB82" s="84"/>
      <c r="AC82" s="84"/>
      <c r="AD82" s="243"/>
    </row>
    <row r="83" spans="16:45" ht="15" x14ac:dyDescent="0.2">
      <c r="Q83" s="210"/>
      <c r="R83" s="239" t="s">
        <v>132</v>
      </c>
      <c r="S83" s="320">
        <v>5</v>
      </c>
      <c r="T83" s="84"/>
      <c r="U83" s="84"/>
      <c r="V83" s="84"/>
      <c r="W83" s="84"/>
      <c r="X83" s="84"/>
      <c r="Y83" s="908"/>
      <c r="Z83" s="909"/>
      <c r="AA83" s="84"/>
      <c r="AB83" s="84"/>
      <c r="AC83" s="84"/>
      <c r="AD83" s="243"/>
    </row>
    <row r="84" spans="16:45" ht="15" x14ac:dyDescent="0.2">
      <c r="Q84" s="210"/>
      <c r="R84" s="239" t="s">
        <v>127</v>
      </c>
      <c r="S84" s="320">
        <v>6</v>
      </c>
      <c r="T84" s="84"/>
      <c r="U84" s="84"/>
      <c r="V84" s="84"/>
      <c r="W84" s="84"/>
      <c r="X84" s="84"/>
      <c r="Y84" s="908"/>
      <c r="Z84" s="909"/>
      <c r="AA84" s="84"/>
      <c r="AB84" s="84"/>
      <c r="AC84" s="84"/>
      <c r="AD84" s="243"/>
    </row>
    <row r="85" spans="16:45" ht="15" x14ac:dyDescent="0.2">
      <c r="Q85" s="210"/>
      <c r="R85" s="264" t="s">
        <v>131</v>
      </c>
      <c r="S85" s="307">
        <v>6</v>
      </c>
      <c r="T85" s="162"/>
      <c r="U85" s="204"/>
      <c r="V85" s="204"/>
      <c r="W85" s="204"/>
      <c r="X85" s="204"/>
      <c r="Y85" s="912"/>
      <c r="Z85" s="913"/>
      <c r="AA85" s="204"/>
      <c r="AB85" s="204"/>
      <c r="AC85" s="204"/>
      <c r="AD85" s="265"/>
    </row>
    <row r="86" spans="16:45" ht="18" x14ac:dyDescent="0.25">
      <c r="Q86" s="210"/>
      <c r="R86" s="906" t="s">
        <v>117</v>
      </c>
      <c r="S86" s="907"/>
      <c r="T86" s="907"/>
      <c r="U86" s="907"/>
      <c r="V86" s="907"/>
      <c r="W86" s="907"/>
      <c r="X86" s="130"/>
      <c r="Y86" s="130"/>
      <c r="Z86" s="130"/>
      <c r="AA86" s="130"/>
      <c r="AB86" s="130"/>
      <c r="AC86" s="130"/>
      <c r="AD86" s="259"/>
    </row>
    <row r="87" spans="16:45" ht="15" x14ac:dyDescent="0.2">
      <c r="Q87" s="210"/>
      <c r="R87" s="260" t="s">
        <v>48</v>
      </c>
      <c r="S87" s="26" t="s">
        <v>239</v>
      </c>
      <c r="T87" s="26" t="s">
        <v>50</v>
      </c>
      <c r="U87" s="128" t="s">
        <v>52</v>
      </c>
      <c r="V87" s="128" t="s">
        <v>241</v>
      </c>
      <c r="W87" s="129"/>
      <c r="X87" s="203"/>
      <c r="Y87" s="910"/>
      <c r="Z87" s="911"/>
      <c r="AA87" s="116"/>
      <c r="AB87" s="200"/>
      <c r="AC87" s="201"/>
      <c r="AD87" s="266"/>
    </row>
    <row r="88" spans="16:45" s="84" customFormat="1" ht="15" x14ac:dyDescent="0.2">
      <c r="P88" s="113"/>
      <c r="Q88" s="210"/>
      <c r="R88" s="267" t="s">
        <v>118</v>
      </c>
      <c r="S88" s="219"/>
      <c r="T88" s="216"/>
      <c r="U88" s="205"/>
      <c r="V88" s="205"/>
      <c r="W88" s="206"/>
      <c r="X88" s="207"/>
      <c r="Y88" s="902"/>
      <c r="Z88" s="903"/>
      <c r="AA88" s="207"/>
      <c r="AB88" s="202"/>
      <c r="AD88" s="243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115"/>
    </row>
    <row r="89" spans="16:45" s="84" customFormat="1" ht="15" x14ac:dyDescent="0.2">
      <c r="P89" s="113"/>
      <c r="Q89" s="210"/>
      <c r="R89" s="268" t="s">
        <v>119</v>
      </c>
      <c r="S89" s="295">
        <v>1</v>
      </c>
      <c r="T89" s="215"/>
      <c r="U89" s="207"/>
      <c r="V89" s="207"/>
      <c r="W89" s="209"/>
      <c r="X89" s="207"/>
      <c r="Y89" s="902"/>
      <c r="Z89" s="903"/>
      <c r="AA89" s="207"/>
      <c r="AB89" s="202"/>
      <c r="AD89" s="243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115"/>
    </row>
    <row r="90" spans="16:45" s="84" customFormat="1" ht="15" x14ac:dyDescent="0.2">
      <c r="P90" s="113"/>
      <c r="Q90" s="210"/>
      <c r="R90" s="269" t="s">
        <v>305</v>
      </c>
      <c r="S90" s="218">
        <v>3</v>
      </c>
      <c r="T90" s="217"/>
      <c r="U90" s="212"/>
      <c r="V90" s="212"/>
      <c r="W90" s="213"/>
      <c r="X90" s="212"/>
      <c r="Y90" s="902"/>
      <c r="Z90" s="903"/>
      <c r="AA90" s="212"/>
      <c r="AB90" s="214"/>
      <c r="AC90" s="204"/>
      <c r="AD90" s="265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115"/>
    </row>
    <row r="91" spans="16:45" s="77" customFormat="1" ht="15" x14ac:dyDescent="0.2">
      <c r="Q91" s="210"/>
      <c r="R91" s="268" t="s">
        <v>121</v>
      </c>
      <c r="S91" s="207">
        <v>1</v>
      </c>
      <c r="T91" s="215"/>
      <c r="U91" s="207"/>
      <c r="V91" s="207"/>
      <c r="W91" s="209"/>
      <c r="X91" s="207"/>
      <c r="Y91" s="902"/>
      <c r="Z91" s="903"/>
      <c r="AA91" s="207"/>
      <c r="AB91" s="202"/>
      <c r="AC91" s="84"/>
      <c r="AD91" s="243"/>
    </row>
    <row r="92" spans="16:45" s="77" customFormat="1" ht="15" x14ac:dyDescent="0.2">
      <c r="Q92" s="210"/>
      <c r="R92" s="268" t="s">
        <v>124</v>
      </c>
      <c r="S92" s="207">
        <v>4</v>
      </c>
      <c r="T92" s="208"/>
      <c r="U92" s="207"/>
      <c r="V92" s="207"/>
      <c r="W92" s="209"/>
      <c r="X92" s="207"/>
      <c r="Y92" s="902"/>
      <c r="Z92" s="903"/>
      <c r="AA92" s="207"/>
      <c r="AB92" s="202"/>
      <c r="AC92" s="84"/>
      <c r="AD92" s="243"/>
    </row>
    <row r="93" spans="16:45" s="77" customFormat="1" ht="15" x14ac:dyDescent="0.2">
      <c r="Q93" s="210"/>
      <c r="R93" s="268" t="s">
        <v>123</v>
      </c>
      <c r="S93" s="207">
        <v>5</v>
      </c>
      <c r="T93" s="208"/>
      <c r="U93" s="207"/>
      <c r="V93" s="207"/>
      <c r="W93" s="209"/>
      <c r="X93" s="207"/>
      <c r="Y93" s="902"/>
      <c r="Z93" s="903"/>
      <c r="AA93" s="207"/>
      <c r="AB93" s="202"/>
      <c r="AC93" s="84"/>
      <c r="AD93" s="243"/>
    </row>
    <row r="94" spans="16:45" s="77" customFormat="1" ht="15" x14ac:dyDescent="0.2">
      <c r="Q94" s="211"/>
      <c r="R94" s="270"/>
      <c r="S94" s="271"/>
      <c r="T94" s="272"/>
      <c r="U94" s="271"/>
      <c r="V94" s="271"/>
      <c r="W94" s="273"/>
      <c r="X94" s="271"/>
      <c r="Y94" s="904"/>
      <c r="Z94" s="905"/>
      <c r="AA94" s="271"/>
      <c r="AB94" s="274"/>
      <c r="AC94" s="275"/>
      <c r="AD94" s="276"/>
    </row>
    <row r="95" spans="16:45" ht="0" hidden="1" customHeight="1" x14ac:dyDescent="0.2">
      <c r="AE95" s="78"/>
    </row>
    <row r="96" spans="16:45" ht="0" hidden="1" customHeight="1" x14ac:dyDescent="0.2">
      <c r="AE96" s="78"/>
    </row>
    <row r="97" spans="31:31" ht="0" hidden="1" customHeight="1" x14ac:dyDescent="0.2">
      <c r="AE97" s="78"/>
    </row>
    <row r="98" spans="31:31" ht="0" hidden="1" customHeight="1" x14ac:dyDescent="0.2">
      <c r="AE98" s="78"/>
    </row>
    <row r="99" spans="31:31" ht="0" hidden="1" customHeight="1" x14ac:dyDescent="0.2">
      <c r="AE99" s="78"/>
    </row>
    <row r="100" spans="31:31" ht="0" hidden="1" customHeight="1" x14ac:dyDescent="0.2">
      <c r="AE100" s="78"/>
    </row>
    <row r="101" spans="31:31" ht="0" hidden="1" customHeight="1" x14ac:dyDescent="0.2">
      <c r="AE101" s="78"/>
    </row>
    <row r="102" spans="31:31" ht="0" hidden="1" customHeight="1" x14ac:dyDescent="0.2">
      <c r="AE102" s="78"/>
    </row>
    <row r="103" spans="31:31" ht="0" hidden="1" customHeight="1" x14ac:dyDescent="0.2">
      <c r="AE103" s="78"/>
    </row>
    <row r="104" spans="31:31" ht="0" hidden="1" customHeight="1" x14ac:dyDescent="0.2">
      <c r="AE104" s="78"/>
    </row>
    <row r="105" spans="31:31" ht="0" hidden="1" customHeight="1" x14ac:dyDescent="0.2">
      <c r="AE105" s="78"/>
    </row>
    <row r="106" spans="31:31" ht="0" hidden="1" customHeight="1" x14ac:dyDescent="0.2">
      <c r="AE106" s="78"/>
    </row>
    <row r="107" spans="31:31" ht="0" hidden="1" customHeight="1" x14ac:dyDescent="0.2">
      <c r="AE107" s="78"/>
    </row>
  </sheetData>
  <mergeCells count="185">
    <mergeCell ref="Y88:Z88"/>
    <mergeCell ref="Y89:Z89"/>
    <mergeCell ref="Y90:Z90"/>
    <mergeCell ref="Y91:Z91"/>
    <mergeCell ref="Y92:Z92"/>
    <mergeCell ref="Y93:Z93"/>
    <mergeCell ref="Y94:Z94"/>
    <mergeCell ref="R86:W86"/>
    <mergeCell ref="Y74:Z74"/>
    <mergeCell ref="Y75:Z75"/>
    <mergeCell ref="Y76:Z76"/>
    <mergeCell ref="Y77:Z77"/>
    <mergeCell ref="Y78:Z78"/>
    <mergeCell ref="Y79:Z79"/>
    <mergeCell ref="Y80:Z80"/>
    <mergeCell ref="Y81:Z81"/>
    <mergeCell ref="Y87:Z87"/>
    <mergeCell ref="Y82:Z82"/>
    <mergeCell ref="Y83:Z83"/>
    <mergeCell ref="Y84:Z84"/>
    <mergeCell ref="Y85:Z85"/>
    <mergeCell ref="D2:D63"/>
    <mergeCell ref="E2:H2"/>
    <mergeCell ref="I2:J2"/>
    <mergeCell ref="W2:X2"/>
    <mergeCell ref="Z3:AA3"/>
    <mergeCell ref="E4:H4"/>
    <mergeCell ref="I4:J4"/>
    <mergeCell ref="X34:Z34"/>
    <mergeCell ref="X27:Z27"/>
    <mergeCell ref="X28:Z28"/>
    <mergeCell ref="I7:J7"/>
    <mergeCell ref="W7:X7"/>
    <mergeCell ref="Z7:AA7"/>
    <mergeCell ref="E8:H8"/>
    <mergeCell ref="I8:J8"/>
    <mergeCell ref="W8:X8"/>
    <mergeCell ref="Z8:AA8"/>
    <mergeCell ref="W4:X4"/>
    <mergeCell ref="Z4:AA4"/>
    <mergeCell ref="I5:J5"/>
    <mergeCell ref="W3:X3"/>
    <mergeCell ref="I13:J13"/>
    <mergeCell ref="W13:X13"/>
    <mergeCell ref="I11:J11"/>
    <mergeCell ref="E6:H6"/>
    <mergeCell ref="I6:J6"/>
    <mergeCell ref="W6:X6"/>
    <mergeCell ref="E12:H12"/>
    <mergeCell ref="I12:J12"/>
    <mergeCell ref="W12:X12"/>
    <mergeCell ref="I9:J9"/>
    <mergeCell ref="W9:X9"/>
    <mergeCell ref="E10:H10"/>
    <mergeCell ref="I10:J10"/>
    <mergeCell ref="W10:X10"/>
    <mergeCell ref="I15:J15"/>
    <mergeCell ref="W15:X15"/>
    <mergeCell ref="E16:I16"/>
    <mergeCell ref="J16:L16"/>
    <mergeCell ref="R16:W16"/>
    <mergeCell ref="X16:Z16"/>
    <mergeCell ref="R15:V15"/>
    <mergeCell ref="E14:H14"/>
    <mergeCell ref="I14:J14"/>
    <mergeCell ref="L14:M14"/>
    <mergeCell ref="W14:X14"/>
    <mergeCell ref="E17:I17"/>
    <mergeCell ref="J17:P17"/>
    <mergeCell ref="R17:W17"/>
    <mergeCell ref="X17:AD17"/>
    <mergeCell ref="J18:L18"/>
    <mergeCell ref="X18:Z18"/>
    <mergeCell ref="R23:W23"/>
    <mergeCell ref="X23:AD23"/>
    <mergeCell ref="E29:I29"/>
    <mergeCell ref="J19:L19"/>
    <mergeCell ref="X19:Z19"/>
    <mergeCell ref="J20:L20"/>
    <mergeCell ref="X20:Z20"/>
    <mergeCell ref="E23:I23"/>
    <mergeCell ref="X21:Z21"/>
    <mergeCell ref="J35:P35"/>
    <mergeCell ref="R35:W35"/>
    <mergeCell ref="J22:L22"/>
    <mergeCell ref="J31:L31"/>
    <mergeCell ref="X31:Z31"/>
    <mergeCell ref="J32:L32"/>
    <mergeCell ref="X32:Z32"/>
    <mergeCell ref="X22:Z22"/>
    <mergeCell ref="J23:P23"/>
    <mergeCell ref="J28:L28"/>
    <mergeCell ref="J29:P29"/>
    <mergeCell ref="R29:W29"/>
    <mergeCell ref="X29:AD29"/>
    <mergeCell ref="J24:L24"/>
    <mergeCell ref="X24:Z24"/>
    <mergeCell ref="J25:L25"/>
    <mergeCell ref="X25:Z25"/>
    <mergeCell ref="J59:L59"/>
    <mergeCell ref="J60:L60"/>
    <mergeCell ref="J61:L61"/>
    <mergeCell ref="E57:I57"/>
    <mergeCell ref="J57:P57"/>
    <mergeCell ref="R57:W57"/>
    <mergeCell ref="X57:AD57"/>
    <mergeCell ref="J58:L58"/>
    <mergeCell ref="X58:Z58"/>
    <mergeCell ref="X61:Z61"/>
    <mergeCell ref="X60:Z60"/>
    <mergeCell ref="X59:Z59"/>
    <mergeCell ref="E35:I35"/>
    <mergeCell ref="J26:L26"/>
    <mergeCell ref="X26:Z26"/>
    <mergeCell ref="J33:L33"/>
    <mergeCell ref="J34:L34"/>
    <mergeCell ref="X33:Z33"/>
    <mergeCell ref="Q6:Q28"/>
    <mergeCell ref="J41:L41"/>
    <mergeCell ref="X41:Z41"/>
    <mergeCell ref="J36:L36"/>
    <mergeCell ref="J39:L39"/>
    <mergeCell ref="J40:L40"/>
    <mergeCell ref="X40:Z40"/>
    <mergeCell ref="X35:AD35"/>
    <mergeCell ref="J30:L30"/>
    <mergeCell ref="X30:Z30"/>
    <mergeCell ref="X36:Z36"/>
    <mergeCell ref="J37:L37"/>
    <mergeCell ref="X37:Z37"/>
    <mergeCell ref="J38:L38"/>
    <mergeCell ref="X39:Z39"/>
    <mergeCell ref="J21:L21"/>
    <mergeCell ref="X38:Z38"/>
    <mergeCell ref="J27:L27"/>
    <mergeCell ref="J67:L67"/>
    <mergeCell ref="X67:Z67"/>
    <mergeCell ref="J62:L62"/>
    <mergeCell ref="X62:Z62"/>
    <mergeCell ref="J63:L63"/>
    <mergeCell ref="X63:Z63"/>
    <mergeCell ref="E71:I71"/>
    <mergeCell ref="R71:W71"/>
    <mergeCell ref="X71:Z71"/>
    <mergeCell ref="J65:L65"/>
    <mergeCell ref="X65:Z65"/>
    <mergeCell ref="J66:L66"/>
    <mergeCell ref="X66:Z66"/>
    <mergeCell ref="E64:I64"/>
    <mergeCell ref="R64:W64"/>
    <mergeCell ref="E72:I72"/>
    <mergeCell ref="R72:W72"/>
    <mergeCell ref="E73:I73"/>
    <mergeCell ref="J68:L68"/>
    <mergeCell ref="X68:Z68"/>
    <mergeCell ref="E69:I69"/>
    <mergeCell ref="R69:W69"/>
    <mergeCell ref="X69:Z69"/>
    <mergeCell ref="E70:I70"/>
    <mergeCell ref="R70:W70"/>
    <mergeCell ref="X70:Z70"/>
    <mergeCell ref="Y73:Z73"/>
    <mergeCell ref="Z13:AA13"/>
    <mergeCell ref="R4:V4"/>
    <mergeCell ref="R6:V6"/>
    <mergeCell ref="R8:V8"/>
    <mergeCell ref="R10:V10"/>
    <mergeCell ref="R12:V12"/>
    <mergeCell ref="R14:V14"/>
    <mergeCell ref="R2:V2"/>
    <mergeCell ref="R3:V3"/>
    <mergeCell ref="R5:V5"/>
    <mergeCell ref="R7:V7"/>
    <mergeCell ref="R9:V9"/>
    <mergeCell ref="R11:V11"/>
    <mergeCell ref="R13:V13"/>
    <mergeCell ref="Z5:AA5"/>
    <mergeCell ref="Z6:AA6"/>
    <mergeCell ref="Z11:AA11"/>
    <mergeCell ref="Z12:AA12"/>
    <mergeCell ref="Z9:AA9"/>
    <mergeCell ref="Z10:AA10"/>
    <mergeCell ref="Z14:AA14"/>
    <mergeCell ref="W11:X11"/>
    <mergeCell ref="W5:X5"/>
  </mergeCells>
  <conditionalFormatting sqref="J69:P71">
    <cfRule type="cellIs" dxfId="21" priority="11" operator="greaterThanOrEqual">
      <formula>0.15</formula>
    </cfRule>
    <cfRule type="cellIs" dxfId="20" priority="12" operator="between">
      <formula>0.075</formula>
      <formula>0.14</formula>
    </cfRule>
    <cfRule type="cellIs" dxfId="19" priority="13" operator="between">
      <formula>0</formula>
      <formula>0.075</formula>
    </cfRule>
    <cfRule type="cellIs" dxfId="18" priority="15" operator="between">
      <formula>0.075</formula>
      <formula>0.14</formula>
    </cfRule>
    <cfRule type="cellIs" dxfId="17" priority="16" operator="between">
      <formula>0</formula>
      <formula>0.075</formula>
    </cfRule>
  </conditionalFormatting>
  <conditionalFormatting sqref="X69:X71 AA69:AD71">
    <cfRule type="cellIs" dxfId="16" priority="5" operator="greaterThanOrEqual">
      <formula>0.15</formula>
    </cfRule>
    <cfRule type="cellIs" dxfId="15" priority="6" operator="between">
      <formula>0.075</formula>
      <formula>0.14</formula>
    </cfRule>
    <cfRule type="cellIs" dxfId="14" priority="7" operator="between">
      <formula>0</formula>
      <formula>0.075</formula>
    </cfRule>
    <cfRule type="cellIs" dxfId="13" priority="9" operator="between">
      <formula>0.075</formula>
      <formula>0.14</formula>
    </cfRule>
    <cfRule type="cellIs" dxfId="12" priority="10" operator="between">
      <formula>0</formula>
      <formula>0.075</formula>
    </cfRule>
  </conditionalFormatting>
  <conditionalFormatting sqref="X19:AD26 AB27:AD27 AC28:AD28 X29:AD33 AB34:AD34 X35:AD61 AD62 X63:AD65 X66 AA66:AD66 X67:AD68">
    <cfRule type="beginsWith" dxfId="11" priority="2" operator="beginsWith" text="2">
      <formula>LEFT(X19,LEN("2"))="2"</formula>
    </cfRule>
    <cfRule type="beginsWith" dxfId="10" priority="3" operator="beginsWith" text="1">
      <formula>LEFT(X19,LEN("1"))="1"</formula>
    </cfRule>
  </conditionalFormatting>
  <pageMargins left="0.25" right="0.25" top="0.75" bottom="0.75" header="0.3" footer="0.3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FD9F-2585-4380-B554-FD3E0E64154E}">
  <sheetPr>
    <pageSetUpPr fitToPage="1"/>
  </sheetPr>
  <dimension ref="A1:BH86"/>
  <sheetViews>
    <sheetView workbookViewId="0">
      <selection activeCell="D1" sqref="D1"/>
    </sheetView>
  </sheetViews>
  <sheetFormatPr defaultColWidth="0" defaultRowHeight="0" customHeight="1" zeroHeight="1" x14ac:dyDescent="0.2"/>
  <cols>
    <col min="4" max="4" width="11.8359375" style="78" customWidth="1"/>
    <col min="5" max="5" width="13.31640625" customWidth="1"/>
    <col min="6" max="6" width="5.24609375" customWidth="1"/>
    <col min="7" max="7" width="3.62890625" customWidth="1"/>
    <col min="8" max="8" width="11.97265625" customWidth="1"/>
    <col min="9" max="9" width="19.234375" customWidth="1"/>
    <col min="10" max="10" width="18.5625" customWidth="1"/>
    <col min="11" max="11" width="6.859375" customWidth="1"/>
    <col min="12" max="12" width="17.75390625" customWidth="1"/>
    <col min="13" max="13" width="34.97265625" customWidth="1"/>
    <col min="14" max="14" width="37.53125" customWidth="1"/>
    <col min="15" max="15" width="38.47265625" customWidth="1"/>
    <col min="16" max="16" width="36.72265625" customWidth="1"/>
    <col min="17" max="17" width="16.41015625" style="77" customWidth="1"/>
    <col min="18" max="18" width="28.78515625" style="77" customWidth="1"/>
    <col min="19" max="19" width="5.24609375" style="77" customWidth="1"/>
    <col min="20" max="20" width="3.62890625" style="77" customWidth="1"/>
    <col min="21" max="22" width="11.97265625" style="77" customWidth="1"/>
    <col min="23" max="23" width="19.234375" style="77" customWidth="1"/>
    <col min="24" max="24" width="18.5625" style="77" customWidth="1"/>
    <col min="25" max="25" width="6.859375" style="77" customWidth="1"/>
    <col min="26" max="26" width="17.75390625" style="77" customWidth="1"/>
    <col min="27" max="27" width="34.97265625" style="77" customWidth="1"/>
    <col min="28" max="28" width="37.53125" style="77" customWidth="1"/>
    <col min="29" max="29" width="38.47265625" style="77" customWidth="1"/>
    <col min="30" max="30" width="36.72265625" style="77" customWidth="1"/>
    <col min="31" max="44" width="6.58984375" style="77" customWidth="1"/>
    <col min="45" max="45" width="0.53515625" hidden="1" customWidth="1"/>
  </cols>
  <sheetData>
    <row r="1" spans="1:47" ht="15.75" customHeight="1" x14ac:dyDescent="0.2">
      <c r="D1" s="403" t="str">
        <f>HYPERLINK("#'Table of Contents'!A1", "🏠 Return")</f>
        <v>🏠 Return</v>
      </c>
      <c r="E1" s="892" t="s">
        <v>185</v>
      </c>
      <c r="F1" s="893"/>
      <c r="G1" s="893"/>
      <c r="H1" s="894"/>
      <c r="I1" s="895" t="s">
        <v>24</v>
      </c>
      <c r="J1" s="895"/>
      <c r="K1" s="57" t="s">
        <v>186</v>
      </c>
      <c r="L1" s="59" t="s">
        <v>187</v>
      </c>
      <c r="M1" s="56"/>
      <c r="N1" s="58" t="s">
        <v>24</v>
      </c>
      <c r="O1" s="90" t="s">
        <v>188</v>
      </c>
      <c r="P1" s="109" t="s">
        <v>24</v>
      </c>
      <c r="Q1" s="138"/>
      <c r="R1" s="927"/>
      <c r="S1" s="927"/>
      <c r="T1" s="927"/>
      <c r="U1" s="927"/>
      <c r="V1" s="318"/>
      <c r="W1" s="927"/>
      <c r="X1" s="927"/>
      <c r="Y1" s="317"/>
      <c r="Z1" s="318"/>
      <c r="AA1" s="139"/>
      <c r="AB1" s="139"/>
      <c r="AC1" s="139"/>
      <c r="AD1" s="139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65"/>
    </row>
    <row r="2" spans="1:47" s="10" customFormat="1" ht="15" customHeight="1" x14ac:dyDescent="0.2">
      <c r="D2" s="891" t="s">
        <v>306</v>
      </c>
      <c r="E2" s="296" t="s">
        <v>192</v>
      </c>
      <c r="F2" s="301"/>
      <c r="G2" s="301"/>
      <c r="H2" s="301"/>
      <c r="I2" s="93" t="s">
        <v>193</v>
      </c>
      <c r="J2" s="93"/>
      <c r="K2" s="96">
        <v>0.1</v>
      </c>
      <c r="L2" s="296" t="s">
        <v>194</v>
      </c>
      <c r="M2" s="301"/>
      <c r="N2" s="93" t="s">
        <v>193</v>
      </c>
      <c r="O2" s="322" t="s">
        <v>195</v>
      </c>
      <c r="P2" s="110" t="s">
        <v>193</v>
      </c>
      <c r="Q2" s="138"/>
      <c r="R2" s="462"/>
      <c r="S2" s="140"/>
      <c r="T2" s="140"/>
      <c r="U2" s="140"/>
      <c r="V2" s="140"/>
      <c r="W2" s="137"/>
      <c r="X2" s="137"/>
      <c r="Y2" s="312"/>
      <c r="Z2" s="918"/>
      <c r="AA2" s="918"/>
      <c r="AB2" s="137"/>
      <c r="AC2" s="313"/>
      <c r="AD2" s="137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66"/>
    </row>
    <row r="3" spans="1:47" s="89" customFormat="1" ht="15" customHeight="1" x14ac:dyDescent="0.2">
      <c r="D3" s="891"/>
      <c r="E3" s="887" t="s">
        <v>198</v>
      </c>
      <c r="F3" s="888"/>
      <c r="G3" s="888"/>
      <c r="H3" s="889"/>
      <c r="I3" s="886" t="s">
        <v>193</v>
      </c>
      <c r="J3" s="886"/>
      <c r="K3" s="98">
        <v>4</v>
      </c>
      <c r="L3" s="101" t="s">
        <v>199</v>
      </c>
      <c r="M3" s="300"/>
      <c r="N3" s="100" t="s">
        <v>193</v>
      </c>
      <c r="O3" s="315" t="s">
        <v>200</v>
      </c>
      <c r="P3" s="111" t="s">
        <v>193</v>
      </c>
      <c r="Q3" s="916"/>
      <c r="R3" s="922"/>
      <c r="S3" s="922"/>
      <c r="T3" s="922"/>
      <c r="U3" s="922"/>
      <c r="V3" s="313"/>
      <c r="W3" s="926"/>
      <c r="X3" s="926"/>
      <c r="Y3" s="312"/>
      <c r="Z3" s="918"/>
      <c r="AA3" s="918"/>
      <c r="AB3" s="137"/>
      <c r="AC3" s="313"/>
      <c r="AD3" s="137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312"/>
      <c r="AR3" s="312"/>
      <c r="AS3" s="312"/>
    </row>
    <row r="4" spans="1:47" s="10" customFormat="1" ht="15" customHeight="1" x14ac:dyDescent="0.2">
      <c r="D4" s="891"/>
      <c r="E4" s="296" t="s">
        <v>203</v>
      </c>
      <c r="F4" s="301"/>
      <c r="G4" s="301"/>
      <c r="H4" s="301"/>
      <c r="I4" s="890" t="s">
        <v>193</v>
      </c>
      <c r="J4" s="890"/>
      <c r="K4" s="96">
        <v>8.5</v>
      </c>
      <c r="L4" s="91" t="s">
        <v>204</v>
      </c>
      <c r="M4" s="301"/>
      <c r="N4" s="93" t="s">
        <v>193</v>
      </c>
      <c r="O4" s="323" t="s">
        <v>205</v>
      </c>
      <c r="P4" s="110" t="s">
        <v>193</v>
      </c>
      <c r="Q4" s="916"/>
      <c r="R4" s="462"/>
      <c r="S4" s="140"/>
      <c r="T4" s="140"/>
      <c r="U4" s="140"/>
      <c r="V4" s="140"/>
      <c r="W4" s="926"/>
      <c r="X4" s="926"/>
      <c r="Y4" s="312"/>
      <c r="Z4" s="920"/>
      <c r="AA4" s="920"/>
      <c r="AB4" s="137"/>
      <c r="AC4" s="313"/>
      <c r="AD4" s="137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66"/>
    </row>
    <row r="5" spans="1:47" s="89" customFormat="1" ht="15" customHeight="1" x14ac:dyDescent="0.2">
      <c r="D5" s="891"/>
      <c r="E5" s="887" t="s">
        <v>209</v>
      </c>
      <c r="F5" s="888"/>
      <c r="G5" s="888"/>
      <c r="H5" s="889"/>
      <c r="I5" s="886" t="s">
        <v>193</v>
      </c>
      <c r="J5" s="886"/>
      <c r="K5" s="98">
        <v>9.5</v>
      </c>
      <c r="L5" s="300" t="s">
        <v>210</v>
      </c>
      <c r="M5" s="300"/>
      <c r="N5" s="100" t="s">
        <v>193</v>
      </c>
      <c r="O5" s="315" t="s">
        <v>211</v>
      </c>
      <c r="P5" s="111" t="s">
        <v>193</v>
      </c>
      <c r="Q5" s="916"/>
      <c r="R5" s="922"/>
      <c r="S5" s="922"/>
      <c r="T5" s="922"/>
      <c r="U5" s="922"/>
      <c r="V5" s="313"/>
      <c r="W5" s="926"/>
      <c r="X5" s="926"/>
      <c r="Y5" s="312"/>
      <c r="Z5" s="918"/>
      <c r="AA5" s="918"/>
      <c r="AB5" s="137"/>
      <c r="AC5" s="313"/>
      <c r="AD5" s="137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</row>
    <row r="6" spans="1:47" s="10" customFormat="1" ht="15" customHeight="1" x14ac:dyDescent="0.2">
      <c r="D6" s="891"/>
      <c r="E6" s="296" t="s">
        <v>213</v>
      </c>
      <c r="F6" s="301"/>
      <c r="G6" s="301"/>
      <c r="H6" s="301"/>
      <c r="I6" s="890" t="s">
        <v>193</v>
      </c>
      <c r="J6" s="890"/>
      <c r="K6" s="96">
        <v>4.5</v>
      </c>
      <c r="L6" s="301" t="s">
        <v>214</v>
      </c>
      <c r="M6" s="301"/>
      <c r="N6" s="93" t="s">
        <v>193</v>
      </c>
      <c r="O6" s="323" t="s">
        <v>215</v>
      </c>
      <c r="P6" s="110" t="s">
        <v>193</v>
      </c>
      <c r="Q6" s="916"/>
      <c r="R6" s="140"/>
      <c r="S6" s="140"/>
      <c r="T6" s="140"/>
      <c r="U6" s="140"/>
      <c r="V6" s="140"/>
      <c r="W6" s="926"/>
      <c r="X6" s="926"/>
      <c r="Y6" s="312"/>
      <c r="Z6" s="920"/>
      <c r="AA6" s="920"/>
      <c r="AB6" s="137"/>
      <c r="AC6" s="313"/>
      <c r="AD6" s="137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66"/>
    </row>
    <row r="7" spans="1:47" s="89" customFormat="1" ht="15" customHeight="1" x14ac:dyDescent="0.2">
      <c r="D7" s="891"/>
      <c r="E7" s="887" t="s">
        <v>217</v>
      </c>
      <c r="F7" s="888"/>
      <c r="G7" s="888"/>
      <c r="H7" s="889"/>
      <c r="I7" s="886" t="s">
        <v>193</v>
      </c>
      <c r="J7" s="886"/>
      <c r="K7" s="98">
        <v>0.2</v>
      </c>
      <c r="L7" s="300" t="s">
        <v>218</v>
      </c>
      <c r="M7" s="300"/>
      <c r="N7" s="100" t="s">
        <v>193</v>
      </c>
      <c r="O7" s="315" t="s">
        <v>219</v>
      </c>
      <c r="P7" s="111" t="s">
        <v>193</v>
      </c>
      <c r="Q7" s="916"/>
      <c r="R7" s="922"/>
      <c r="S7" s="922"/>
      <c r="T7" s="922"/>
      <c r="U7" s="922"/>
      <c r="V7" s="313"/>
      <c r="W7" s="926"/>
      <c r="X7" s="926"/>
      <c r="Y7" s="312"/>
      <c r="Z7" s="918"/>
      <c r="AA7" s="918"/>
      <c r="AB7" s="137"/>
      <c r="AC7" s="313"/>
      <c r="AD7" s="137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</row>
    <row r="8" spans="1:47" s="10" customFormat="1" ht="15" customHeight="1" x14ac:dyDescent="0.2">
      <c r="D8" s="891"/>
      <c r="E8" s="296" t="s">
        <v>221</v>
      </c>
      <c r="F8" s="301"/>
      <c r="G8" s="301"/>
      <c r="H8" s="301"/>
      <c r="I8" s="890" t="s">
        <v>193</v>
      </c>
      <c r="J8" s="890"/>
      <c r="K8" s="96">
        <v>1</v>
      </c>
      <c r="L8" s="91" t="s">
        <v>222</v>
      </c>
      <c r="M8" s="301"/>
      <c r="N8" s="93" t="s">
        <v>193</v>
      </c>
      <c r="O8" s="323" t="s">
        <v>223</v>
      </c>
      <c r="P8" s="110" t="s">
        <v>193</v>
      </c>
      <c r="Q8" s="916"/>
      <c r="R8" s="141"/>
      <c r="S8" s="140"/>
      <c r="T8" s="140"/>
      <c r="U8" s="140"/>
      <c r="V8" s="140"/>
      <c r="W8" s="926"/>
      <c r="X8" s="926"/>
      <c r="Y8" s="312"/>
      <c r="Z8" s="920"/>
      <c r="AA8" s="920"/>
      <c r="AB8" s="137"/>
      <c r="AC8" s="313"/>
      <c r="AD8" s="137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66"/>
    </row>
    <row r="9" spans="1:47" s="89" customFormat="1" ht="15" customHeight="1" x14ac:dyDescent="0.2">
      <c r="D9" s="891"/>
      <c r="E9" s="887" t="s">
        <v>225</v>
      </c>
      <c r="F9" s="888"/>
      <c r="G9" s="888"/>
      <c r="H9" s="889"/>
      <c r="I9" s="886" t="s">
        <v>193</v>
      </c>
      <c r="J9" s="886"/>
      <c r="K9" s="98">
        <v>1.5</v>
      </c>
      <c r="L9" s="300" t="s">
        <v>226</v>
      </c>
      <c r="M9" s="300"/>
      <c r="N9" s="100" t="s">
        <v>193</v>
      </c>
      <c r="O9" s="315" t="s">
        <v>227</v>
      </c>
      <c r="P9" s="111" t="s">
        <v>193</v>
      </c>
      <c r="Q9" s="916"/>
      <c r="R9" s="928"/>
      <c r="S9" s="928"/>
      <c r="T9" s="928"/>
      <c r="U9" s="928"/>
      <c r="V9" s="463"/>
      <c r="W9" s="926"/>
      <c r="X9" s="926"/>
      <c r="Y9" s="312"/>
      <c r="Z9" s="918"/>
      <c r="AA9" s="918"/>
      <c r="AB9" s="137"/>
      <c r="AC9" s="313"/>
      <c r="AD9" s="137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</row>
    <row r="10" spans="1:47" ht="15" customHeight="1" x14ac:dyDescent="0.2">
      <c r="D10" s="891"/>
      <c r="E10" s="296" t="s">
        <v>229</v>
      </c>
      <c r="F10" s="301"/>
      <c r="G10" s="301"/>
      <c r="H10" s="301"/>
      <c r="I10" s="890" t="s">
        <v>193</v>
      </c>
      <c r="J10" s="890"/>
      <c r="K10" s="96">
        <v>1.5</v>
      </c>
      <c r="L10" s="301" t="s">
        <v>230</v>
      </c>
      <c r="M10" s="301"/>
      <c r="N10" s="93" t="s">
        <v>193</v>
      </c>
      <c r="O10" s="323" t="s">
        <v>231</v>
      </c>
      <c r="P10" s="110" t="s">
        <v>193</v>
      </c>
      <c r="Q10" s="916"/>
      <c r="R10" s="140"/>
      <c r="S10" s="140"/>
      <c r="T10" s="140"/>
      <c r="U10" s="140"/>
      <c r="V10" s="140"/>
      <c r="W10" s="926"/>
      <c r="X10" s="926"/>
      <c r="Y10" s="312"/>
      <c r="Z10" s="918"/>
      <c r="AA10" s="918"/>
      <c r="AB10" s="137"/>
      <c r="AC10" s="313"/>
      <c r="AD10" s="137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66"/>
      <c r="AT10" s="10"/>
      <c r="AU10" s="10"/>
    </row>
    <row r="11" spans="1:47" s="89" customFormat="1" ht="15" customHeight="1" x14ac:dyDescent="0.2">
      <c r="D11" s="891"/>
      <c r="E11" s="887" t="s">
        <v>233</v>
      </c>
      <c r="F11" s="888"/>
      <c r="G11" s="888"/>
      <c r="H11" s="889"/>
      <c r="I11" s="886" t="s">
        <v>193</v>
      </c>
      <c r="J11" s="886"/>
      <c r="K11" s="98">
        <v>2</v>
      </c>
      <c r="L11" s="300" t="s">
        <v>234</v>
      </c>
      <c r="M11" s="300"/>
      <c r="N11" s="100" t="s">
        <v>193</v>
      </c>
      <c r="O11" s="315" t="s">
        <v>235</v>
      </c>
      <c r="P11" s="111" t="s">
        <v>193</v>
      </c>
      <c r="Q11" s="916"/>
      <c r="R11" s="922"/>
      <c r="S11" s="922"/>
      <c r="T11" s="922"/>
      <c r="U11" s="922"/>
      <c r="V11" s="313"/>
      <c r="W11" s="926"/>
      <c r="X11" s="926"/>
      <c r="Y11" s="312"/>
      <c r="Z11" s="918"/>
      <c r="AA11" s="918"/>
      <c r="AB11" s="137"/>
      <c r="AC11" s="313"/>
      <c r="AD11" s="137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</row>
    <row r="12" spans="1:47" ht="15" customHeight="1" x14ac:dyDescent="0.2">
      <c r="D12" s="891"/>
      <c r="E12" s="296" t="s">
        <v>236</v>
      </c>
      <c r="F12" s="301"/>
      <c r="G12" s="301"/>
      <c r="H12" s="301"/>
      <c r="I12" s="890" t="s">
        <v>193</v>
      </c>
      <c r="J12" s="890"/>
      <c r="K12" s="96" t="s">
        <v>237</v>
      </c>
      <c r="L12" s="301"/>
      <c r="M12" s="301"/>
      <c r="N12" s="93" t="s">
        <v>193</v>
      </c>
      <c r="O12" s="323" t="s">
        <v>238</v>
      </c>
      <c r="P12" s="110" t="s">
        <v>193</v>
      </c>
      <c r="Q12" s="916"/>
      <c r="R12" s="140"/>
      <c r="S12" s="140"/>
      <c r="T12" s="140"/>
      <c r="U12" s="140"/>
      <c r="V12" s="140"/>
      <c r="W12" s="926"/>
      <c r="X12" s="926"/>
      <c r="Y12" s="312"/>
      <c r="Z12" s="140"/>
      <c r="AA12" s="140"/>
      <c r="AB12" s="137"/>
      <c r="AC12" s="313"/>
      <c r="AD12" s="137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66"/>
      <c r="AT12" s="10"/>
      <c r="AU12" s="10"/>
    </row>
    <row r="13" spans="1:47" s="89" customFormat="1" ht="15" customHeight="1" x14ac:dyDescent="0.2">
      <c r="D13" s="891"/>
      <c r="E13" s="751"/>
      <c r="F13" s="735"/>
      <c r="G13" s="735"/>
      <c r="H13" s="736"/>
      <c r="I13" s="886" t="s">
        <v>193</v>
      </c>
      <c r="J13" s="886"/>
      <c r="K13" s="98"/>
      <c r="L13" s="751"/>
      <c r="M13" s="736"/>
      <c r="N13" s="99" t="s">
        <v>193</v>
      </c>
      <c r="O13" s="315"/>
      <c r="P13" s="111" t="s">
        <v>193</v>
      </c>
      <c r="Q13" s="916"/>
      <c r="R13" s="918"/>
      <c r="S13" s="918"/>
      <c r="T13" s="918"/>
      <c r="U13" s="918"/>
      <c r="V13" s="312"/>
      <c r="W13" s="926"/>
      <c r="X13" s="926"/>
      <c r="Y13" s="312"/>
      <c r="Z13" s="918"/>
      <c r="AA13" s="918"/>
      <c r="AB13" s="137"/>
      <c r="AC13" s="313"/>
      <c r="AD13" s="137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77"/>
    </row>
    <row r="14" spans="1:47" ht="15" customHeight="1" x14ac:dyDescent="0.2">
      <c r="D14" s="891"/>
      <c r="E14" s="95"/>
      <c r="F14" s="92"/>
      <c r="G14" s="92"/>
      <c r="H14" s="302"/>
      <c r="I14" s="872" t="s">
        <v>193</v>
      </c>
      <c r="J14" s="873"/>
      <c r="K14" s="97"/>
      <c r="L14" s="92"/>
      <c r="M14" s="92"/>
      <c r="N14" s="94" t="s">
        <v>193</v>
      </c>
      <c r="O14" s="292"/>
      <c r="P14" s="112" t="s">
        <v>193</v>
      </c>
      <c r="Q14" s="916"/>
      <c r="R14" s="140"/>
      <c r="S14" s="140"/>
      <c r="T14" s="140"/>
      <c r="U14" s="140"/>
      <c r="V14" s="140"/>
      <c r="W14" s="926"/>
      <c r="X14" s="926"/>
      <c r="Y14" s="312"/>
      <c r="Z14" s="140"/>
      <c r="AA14" s="140"/>
      <c r="AB14" s="137"/>
      <c r="AC14" s="312"/>
      <c r="AD14" s="137"/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312"/>
      <c r="AQ14" s="312"/>
      <c r="AR14" s="312"/>
      <c r="AS14" s="66"/>
      <c r="AT14" s="10"/>
      <c r="AU14" s="10"/>
    </row>
    <row r="15" spans="1:47" ht="15.75" customHeight="1" x14ac:dyDescent="0.2">
      <c r="D15" s="891"/>
      <c r="E15" s="874" t="s">
        <v>55</v>
      </c>
      <c r="F15" s="875"/>
      <c r="G15" s="875"/>
      <c r="H15" s="875"/>
      <c r="I15" s="876"/>
      <c r="J15" s="877" t="s">
        <v>58</v>
      </c>
      <c r="K15" s="878"/>
      <c r="L15" s="878"/>
      <c r="M15" s="102" t="s">
        <v>59</v>
      </c>
      <c r="N15" s="102" t="s">
        <v>60</v>
      </c>
      <c r="O15" s="102" t="s">
        <v>61</v>
      </c>
      <c r="P15" s="103" t="s">
        <v>62</v>
      </c>
      <c r="Q15" s="916"/>
      <c r="R15" s="695"/>
      <c r="S15" s="695"/>
      <c r="T15" s="695"/>
      <c r="U15" s="695"/>
      <c r="V15" s="695"/>
      <c r="W15" s="695"/>
      <c r="X15" s="923"/>
      <c r="Y15" s="923"/>
      <c r="Z15" s="923"/>
      <c r="AA15" s="80"/>
      <c r="AB15" s="80"/>
      <c r="AC15" s="80"/>
      <c r="AD15" s="80"/>
      <c r="AS15" s="6"/>
      <c r="AT15" s="7"/>
      <c r="AU15" s="7"/>
    </row>
    <row r="16" spans="1:47" s="22" customFormat="1" ht="17.25" customHeight="1" x14ac:dyDescent="0.25">
      <c r="A16" s="35"/>
      <c r="B16" s="35"/>
      <c r="C16" s="35"/>
      <c r="D16" s="891"/>
      <c r="E16" s="807" t="s">
        <v>63</v>
      </c>
      <c r="F16" s="808"/>
      <c r="G16" s="809"/>
      <c r="H16" s="809"/>
      <c r="I16" s="810"/>
      <c r="J16" s="846" t="s">
        <v>56</v>
      </c>
      <c r="K16" s="847"/>
      <c r="L16" s="847"/>
      <c r="M16" s="847"/>
      <c r="N16" s="847"/>
      <c r="O16" s="847"/>
      <c r="P16" s="848"/>
      <c r="Q16" s="916"/>
      <c r="R16" s="917"/>
      <c r="S16" s="917"/>
      <c r="T16" s="917"/>
      <c r="U16" s="917"/>
      <c r="V16" s="917"/>
      <c r="W16" s="917"/>
      <c r="X16" s="925"/>
      <c r="Y16" s="925"/>
      <c r="Z16" s="925"/>
      <c r="AA16" s="925"/>
      <c r="AB16" s="925"/>
      <c r="AC16" s="925"/>
      <c r="AD16" s="925"/>
      <c r="AE16" s="316"/>
      <c r="AF16" s="316"/>
      <c r="AG16" s="316"/>
      <c r="AH16" s="316"/>
      <c r="AI16" s="316"/>
      <c r="AJ16" s="316"/>
      <c r="AK16" s="316"/>
      <c r="AL16" s="316"/>
      <c r="AM16" s="316"/>
      <c r="AN16" s="316"/>
      <c r="AO16" s="316"/>
      <c r="AP16" s="316"/>
      <c r="AQ16" s="316"/>
      <c r="AR16" s="316"/>
      <c r="AS16" s="321"/>
      <c r="AT16" s="21"/>
    </row>
    <row r="17" spans="1:46" s="26" customFormat="1" ht="15" customHeight="1" x14ac:dyDescent="0.2">
      <c r="A17" s="30"/>
      <c r="B17" s="30"/>
      <c r="C17" s="30"/>
      <c r="D17" s="891"/>
      <c r="E17" s="25" t="s">
        <v>48</v>
      </c>
      <c r="F17" s="30" t="s">
        <v>239</v>
      </c>
      <c r="G17" s="26" t="s">
        <v>50</v>
      </c>
      <c r="H17" s="26" t="s">
        <v>52</v>
      </c>
      <c r="I17" s="327" t="s">
        <v>240</v>
      </c>
      <c r="J17" s="801" t="s">
        <v>180</v>
      </c>
      <c r="K17" s="802"/>
      <c r="L17" s="802"/>
      <c r="M17" s="26" t="s">
        <v>174</v>
      </c>
      <c r="N17" s="26" t="s">
        <v>175</v>
      </c>
      <c r="O17" s="26" t="s">
        <v>176</v>
      </c>
      <c r="P17" s="34" t="s">
        <v>177</v>
      </c>
      <c r="Q17" s="916"/>
      <c r="R17" s="80"/>
      <c r="S17" s="80"/>
      <c r="T17" s="80"/>
      <c r="U17" s="80"/>
      <c r="V17" s="80"/>
      <c r="W17" s="137"/>
      <c r="X17" s="923"/>
      <c r="Y17" s="923"/>
      <c r="Z17" s="923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67"/>
      <c r="AT17" s="30"/>
    </row>
    <row r="18" spans="1:46" s="12" customFormat="1" ht="15" customHeight="1" x14ac:dyDescent="0.2">
      <c r="A18" s="16"/>
      <c r="B18" s="16"/>
      <c r="C18" s="16"/>
      <c r="D18" s="891"/>
      <c r="E18" s="11" t="s">
        <v>73</v>
      </c>
      <c r="F18" s="314">
        <v>4</v>
      </c>
      <c r="G18" s="14"/>
      <c r="I18" s="31"/>
      <c r="J18" s="820" t="s">
        <v>243</v>
      </c>
      <c r="K18" s="814"/>
      <c r="L18" s="814"/>
      <c r="M18" s="12" t="s">
        <v>244</v>
      </c>
      <c r="N18" s="12" t="s">
        <v>245</v>
      </c>
      <c r="P18" s="31"/>
      <c r="Q18" s="916"/>
      <c r="R18" s="77"/>
      <c r="S18" s="312"/>
      <c r="T18" s="77"/>
      <c r="U18" s="77"/>
      <c r="V18" s="77"/>
      <c r="W18" s="77"/>
      <c r="X18" s="922"/>
      <c r="Y18" s="922"/>
      <c r="Z18" s="922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68"/>
      <c r="AT18" s="16"/>
    </row>
    <row r="19" spans="1:46" s="61" customFormat="1" ht="30" customHeight="1" x14ac:dyDescent="0.2">
      <c r="A19" s="298"/>
      <c r="B19" s="298"/>
      <c r="C19" s="298"/>
      <c r="D19" s="891"/>
      <c r="E19" s="60" t="s">
        <v>106</v>
      </c>
      <c r="F19" s="326">
        <v>1</v>
      </c>
      <c r="G19" s="40"/>
      <c r="H19" s="61" t="s">
        <v>107</v>
      </c>
      <c r="I19" s="62"/>
      <c r="J19" s="864" t="s">
        <v>247</v>
      </c>
      <c r="K19" s="865"/>
      <c r="L19" s="865"/>
      <c r="M19" s="63" t="s">
        <v>248</v>
      </c>
      <c r="N19" s="61" t="s">
        <v>245</v>
      </c>
      <c r="P19" s="62"/>
      <c r="Q19" s="916"/>
      <c r="R19" s="81"/>
      <c r="S19" s="142"/>
      <c r="T19" s="81"/>
      <c r="U19" s="81"/>
      <c r="V19" s="81"/>
      <c r="W19" s="81"/>
      <c r="X19" s="924"/>
      <c r="Y19" s="924"/>
      <c r="Z19" s="924"/>
      <c r="AA19" s="143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69"/>
      <c r="AT19" s="298"/>
    </row>
    <row r="20" spans="1:46" s="12" customFormat="1" ht="15" customHeight="1" x14ac:dyDescent="0.2">
      <c r="A20" s="16"/>
      <c r="B20" s="16"/>
      <c r="C20" s="16"/>
      <c r="D20" s="891"/>
      <c r="E20" s="11" t="s">
        <v>82</v>
      </c>
      <c r="F20" s="314">
        <v>2</v>
      </c>
      <c r="G20" s="14"/>
      <c r="I20" s="31"/>
      <c r="J20" s="820" t="s">
        <v>250</v>
      </c>
      <c r="K20" s="814"/>
      <c r="L20" s="814"/>
      <c r="M20" s="12" t="s">
        <v>251</v>
      </c>
      <c r="N20" s="12" t="s">
        <v>252</v>
      </c>
      <c r="P20" s="31"/>
      <c r="Q20" s="916"/>
      <c r="R20" s="77"/>
      <c r="S20" s="312"/>
      <c r="T20" s="77"/>
      <c r="U20" s="77"/>
      <c r="V20" s="77"/>
      <c r="W20" s="77"/>
      <c r="X20" s="922"/>
      <c r="Y20" s="922"/>
      <c r="Z20" s="922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68"/>
      <c r="AT20" s="16"/>
    </row>
    <row r="21" spans="1:46" s="3" customFormat="1" ht="15" customHeight="1" x14ac:dyDescent="0.2">
      <c r="A21" s="36"/>
      <c r="B21" s="36"/>
      <c r="C21" s="36"/>
      <c r="D21" s="891"/>
      <c r="E21" s="4" t="s">
        <v>101</v>
      </c>
      <c r="F21" s="19">
        <v>6</v>
      </c>
      <c r="G21" s="15"/>
      <c r="H21" s="5"/>
      <c r="I21" s="33"/>
      <c r="J21" s="858"/>
      <c r="K21" s="859"/>
      <c r="L21" s="859"/>
      <c r="M21" s="5"/>
      <c r="N21" s="5"/>
      <c r="O21" s="5"/>
      <c r="P21" s="33"/>
      <c r="Q21" s="916"/>
      <c r="R21" s="77"/>
      <c r="S21" s="312"/>
      <c r="T21" s="77"/>
      <c r="U21" s="77"/>
      <c r="V21" s="77"/>
      <c r="W21" s="77"/>
      <c r="X21" s="922"/>
      <c r="Y21" s="922"/>
      <c r="Z21" s="922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0"/>
      <c r="AT21" s="17"/>
    </row>
    <row r="22" spans="1:46" s="24" customFormat="1" ht="17.25" customHeight="1" x14ac:dyDescent="0.25">
      <c r="D22" s="891"/>
      <c r="E22" s="807" t="s">
        <v>83</v>
      </c>
      <c r="F22" s="808"/>
      <c r="G22" s="809"/>
      <c r="H22" s="809"/>
      <c r="I22" s="810"/>
      <c r="J22" s="846" t="s">
        <v>56</v>
      </c>
      <c r="K22" s="847"/>
      <c r="L22" s="847"/>
      <c r="M22" s="847"/>
      <c r="N22" s="847"/>
      <c r="O22" s="847"/>
      <c r="P22" s="848"/>
      <c r="Q22" s="916"/>
      <c r="R22" s="917"/>
      <c r="S22" s="917"/>
      <c r="T22" s="917"/>
      <c r="U22" s="917"/>
      <c r="V22" s="917"/>
      <c r="W22" s="917"/>
      <c r="X22" s="925"/>
      <c r="Y22" s="925"/>
      <c r="Z22" s="925"/>
      <c r="AA22" s="925"/>
      <c r="AB22" s="925"/>
      <c r="AC22" s="925"/>
      <c r="AD22" s="925"/>
      <c r="AE22" s="316"/>
      <c r="AF22" s="316"/>
      <c r="AG22" s="316"/>
      <c r="AH22" s="316"/>
      <c r="AI22" s="316"/>
      <c r="AJ22" s="316"/>
      <c r="AK22" s="316"/>
      <c r="AL22" s="316"/>
      <c r="AM22" s="316"/>
      <c r="AN22" s="316"/>
      <c r="AO22" s="316"/>
      <c r="AP22" s="316"/>
      <c r="AQ22" s="316"/>
      <c r="AR22" s="316"/>
      <c r="AS22" s="71"/>
      <c r="AT22" s="23"/>
    </row>
    <row r="23" spans="1:46" s="9" customFormat="1" ht="15" customHeight="1" x14ac:dyDescent="0.2">
      <c r="D23" s="891"/>
      <c r="E23" s="25" t="s">
        <v>48</v>
      </c>
      <c r="F23" s="30" t="s">
        <v>239</v>
      </c>
      <c r="G23" s="26" t="s">
        <v>50</v>
      </c>
      <c r="H23" s="27" t="s">
        <v>52</v>
      </c>
      <c r="I23" s="327" t="s">
        <v>240</v>
      </c>
      <c r="J23" s="801" t="s">
        <v>180</v>
      </c>
      <c r="K23" s="802"/>
      <c r="L23" s="802"/>
      <c r="M23" s="26" t="s">
        <v>174</v>
      </c>
      <c r="N23" s="26" t="s">
        <v>175</v>
      </c>
      <c r="O23" s="26" t="s">
        <v>176</v>
      </c>
      <c r="P23" s="34" t="s">
        <v>177</v>
      </c>
      <c r="Q23" s="916"/>
      <c r="R23" s="80"/>
      <c r="S23" s="80"/>
      <c r="T23" s="80"/>
      <c r="U23" s="137"/>
      <c r="V23" s="137"/>
      <c r="W23" s="137"/>
      <c r="X23" s="923"/>
      <c r="Y23" s="923"/>
      <c r="Z23" s="923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28"/>
      <c r="AT23" s="8"/>
    </row>
    <row r="24" spans="1:46" s="10" customFormat="1" ht="15" customHeight="1" x14ac:dyDescent="0.2">
      <c r="D24" s="891"/>
      <c r="E24" s="11" t="s">
        <v>84</v>
      </c>
      <c r="F24" s="314">
        <v>1</v>
      </c>
      <c r="G24" s="14"/>
      <c r="H24" s="12" t="s">
        <v>72</v>
      </c>
      <c r="I24" s="31"/>
      <c r="J24" s="820" t="s">
        <v>257</v>
      </c>
      <c r="K24" s="814"/>
      <c r="L24" s="814"/>
      <c r="M24" s="12"/>
      <c r="N24" s="12"/>
      <c r="O24" s="12"/>
      <c r="P24" s="31"/>
      <c r="Q24" s="916"/>
      <c r="R24" s="77"/>
      <c r="S24" s="312"/>
      <c r="T24" s="77"/>
      <c r="U24" s="77"/>
      <c r="V24" s="77"/>
      <c r="W24" s="77"/>
      <c r="X24" s="922"/>
      <c r="Y24" s="922"/>
      <c r="Z24" s="922"/>
      <c r="AA24" s="144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13"/>
      <c r="AT24" s="13"/>
    </row>
    <row r="25" spans="1:46" ht="15" customHeight="1" x14ac:dyDescent="0.2">
      <c r="D25" s="891"/>
      <c r="E25" s="2" t="s">
        <v>87</v>
      </c>
      <c r="F25" s="37">
        <v>3</v>
      </c>
      <c r="G25" s="14"/>
      <c r="H25" s="3" t="s">
        <v>88</v>
      </c>
      <c r="I25" s="32"/>
      <c r="J25" s="786" t="s">
        <v>37</v>
      </c>
      <c r="K25" s="787"/>
      <c r="L25" s="787"/>
      <c r="M25" s="3"/>
      <c r="N25" s="3"/>
      <c r="O25" s="3" t="s">
        <v>89</v>
      </c>
      <c r="P25" s="32"/>
      <c r="Q25" s="916"/>
      <c r="S25" s="312"/>
      <c r="X25" s="922"/>
      <c r="Y25" s="922"/>
      <c r="Z25" s="922"/>
      <c r="AS25" s="1"/>
      <c r="AT25" s="1"/>
    </row>
    <row r="26" spans="1:46" s="38" customFormat="1" ht="31.5" customHeight="1" x14ac:dyDescent="0.2">
      <c r="D26" s="891"/>
      <c r="E26" s="39" t="s">
        <v>77</v>
      </c>
      <c r="F26" s="325">
        <v>2</v>
      </c>
      <c r="G26" s="43"/>
      <c r="H26" s="41"/>
      <c r="I26" s="42"/>
      <c r="J26" s="844" t="s">
        <v>260</v>
      </c>
      <c r="K26" s="845"/>
      <c r="L26" s="845"/>
      <c r="M26" s="41" t="s">
        <v>261</v>
      </c>
      <c r="N26" s="41" t="s">
        <v>262</v>
      </c>
      <c r="O26" s="41" t="s">
        <v>263</v>
      </c>
      <c r="P26" s="42"/>
      <c r="Q26" s="916"/>
      <c r="R26" s="81"/>
      <c r="S26" s="142"/>
      <c r="T26" s="145"/>
      <c r="U26" s="81"/>
      <c r="V26" s="81"/>
      <c r="W26" s="81"/>
      <c r="X26" s="924"/>
      <c r="Y26" s="924"/>
      <c r="Z26" s="924"/>
      <c r="AA26" s="146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44"/>
      <c r="AT26" s="44"/>
    </row>
    <row r="27" spans="1:46" s="45" customFormat="1" ht="29.25" customHeight="1" x14ac:dyDescent="0.2">
      <c r="D27" s="891"/>
      <c r="E27" s="46" t="s">
        <v>109</v>
      </c>
      <c r="F27" s="47">
        <v>2</v>
      </c>
      <c r="G27" s="48"/>
      <c r="H27" s="49" t="s">
        <v>76</v>
      </c>
      <c r="I27" s="50"/>
      <c r="J27" s="862" t="s">
        <v>264</v>
      </c>
      <c r="K27" s="863"/>
      <c r="L27" s="863"/>
      <c r="M27" s="49" t="s">
        <v>265</v>
      </c>
      <c r="N27" s="49" t="s">
        <v>245</v>
      </c>
      <c r="O27" s="49" t="s">
        <v>266</v>
      </c>
      <c r="P27" s="50"/>
      <c r="Q27" s="916"/>
      <c r="R27" s="81"/>
      <c r="S27" s="142"/>
      <c r="T27" s="81"/>
      <c r="U27" s="81"/>
      <c r="V27" s="81"/>
      <c r="W27" s="81"/>
      <c r="X27" s="924"/>
      <c r="Y27" s="924"/>
      <c r="Z27" s="924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51"/>
      <c r="AT27" s="51"/>
    </row>
    <row r="28" spans="1:46" s="24" customFormat="1" ht="17.25" customHeight="1" x14ac:dyDescent="0.25">
      <c r="D28" s="891"/>
      <c r="E28" s="807" t="s">
        <v>93</v>
      </c>
      <c r="F28" s="808"/>
      <c r="G28" s="809"/>
      <c r="H28" s="809"/>
      <c r="I28" s="810"/>
      <c r="J28" s="846" t="s">
        <v>56</v>
      </c>
      <c r="K28" s="847"/>
      <c r="L28" s="847"/>
      <c r="M28" s="847"/>
      <c r="N28" s="847"/>
      <c r="O28" s="847"/>
      <c r="P28" s="848"/>
      <c r="Q28" s="916"/>
      <c r="R28" s="917"/>
      <c r="S28" s="917"/>
      <c r="T28" s="917"/>
      <c r="U28" s="917"/>
      <c r="V28" s="917"/>
      <c r="W28" s="917"/>
      <c r="X28" s="925"/>
      <c r="Y28" s="925"/>
      <c r="Z28" s="925"/>
      <c r="AA28" s="925"/>
      <c r="AB28" s="925"/>
      <c r="AC28" s="925"/>
      <c r="AD28" s="925"/>
      <c r="AE28" s="316"/>
      <c r="AF28" s="316"/>
      <c r="AG28" s="316"/>
      <c r="AH28" s="316"/>
      <c r="AI28" s="316"/>
      <c r="AJ28" s="316"/>
      <c r="AK28" s="316"/>
      <c r="AL28" s="316"/>
      <c r="AM28" s="316"/>
      <c r="AN28" s="316"/>
      <c r="AO28" s="316"/>
      <c r="AP28" s="316"/>
      <c r="AQ28" s="316"/>
      <c r="AR28" s="316"/>
      <c r="AS28" s="71"/>
      <c r="AT28" s="23"/>
    </row>
    <row r="29" spans="1:46" s="29" customFormat="1" ht="15" customHeight="1" x14ac:dyDescent="0.2">
      <c r="D29" s="456"/>
      <c r="E29" s="25" t="s">
        <v>48</v>
      </c>
      <c r="F29" s="30" t="s">
        <v>239</v>
      </c>
      <c r="G29" s="26" t="s">
        <v>50</v>
      </c>
      <c r="H29" s="27" t="s">
        <v>52</v>
      </c>
      <c r="I29" s="327" t="s">
        <v>240</v>
      </c>
      <c r="J29" s="801" t="s">
        <v>180</v>
      </c>
      <c r="K29" s="802"/>
      <c r="L29" s="802"/>
      <c r="M29" s="26" t="s">
        <v>174</v>
      </c>
      <c r="N29" s="26" t="s">
        <v>175</v>
      </c>
      <c r="O29" s="26" t="s">
        <v>176</v>
      </c>
      <c r="P29" s="34" t="s">
        <v>177</v>
      </c>
      <c r="Q29" s="916"/>
      <c r="R29" s="80"/>
      <c r="S29" s="80"/>
      <c r="T29" s="80"/>
      <c r="U29" s="137"/>
      <c r="V29" s="137"/>
      <c r="W29" s="137"/>
      <c r="X29" s="923"/>
      <c r="Y29" s="923"/>
      <c r="Z29" s="923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28"/>
      <c r="AT29" s="28"/>
    </row>
    <row r="30" spans="1:46" s="10" customFormat="1" ht="15" customHeight="1" x14ac:dyDescent="0.2">
      <c r="D30" s="456"/>
      <c r="E30" s="11" t="s">
        <v>94</v>
      </c>
      <c r="F30" s="314">
        <v>1</v>
      </c>
      <c r="G30" s="14"/>
      <c r="H30" s="12" t="s">
        <v>72</v>
      </c>
      <c r="I30" s="31"/>
      <c r="J30" s="820" t="s">
        <v>267</v>
      </c>
      <c r="K30" s="814"/>
      <c r="L30" s="814"/>
      <c r="M30" s="12" t="s">
        <v>268</v>
      </c>
      <c r="N30" s="12" t="s">
        <v>268</v>
      </c>
      <c r="O30" s="12"/>
      <c r="P30" s="31"/>
      <c r="Q30" s="916"/>
      <c r="R30" s="77"/>
      <c r="S30" s="312"/>
      <c r="T30" s="77"/>
      <c r="U30" s="77"/>
      <c r="V30" s="77"/>
      <c r="W30" s="77"/>
      <c r="X30" s="922"/>
      <c r="Y30" s="922"/>
      <c r="Z30" s="922"/>
      <c r="AA30" s="77"/>
      <c r="AB30" s="14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13"/>
      <c r="AT30" s="13"/>
    </row>
    <row r="31" spans="1:46" ht="15" customHeight="1" x14ac:dyDescent="0.2">
      <c r="D31" s="456"/>
      <c r="E31" s="2" t="s">
        <v>70</v>
      </c>
      <c r="F31" s="37">
        <v>2</v>
      </c>
      <c r="G31" s="14"/>
      <c r="H31" s="3" t="s">
        <v>72</v>
      </c>
      <c r="I31" s="32"/>
      <c r="J31" s="786" t="s">
        <v>272</v>
      </c>
      <c r="K31" s="787"/>
      <c r="L31" s="787"/>
      <c r="M31" s="3" t="s">
        <v>273</v>
      </c>
      <c r="N31" s="3"/>
      <c r="O31" s="3"/>
      <c r="P31" s="32"/>
      <c r="Q31" s="916"/>
      <c r="S31" s="312"/>
      <c r="X31" s="922"/>
      <c r="Y31" s="922"/>
      <c r="Z31" s="922"/>
      <c r="AB31" s="147"/>
      <c r="AS31" s="1"/>
      <c r="AT31" s="1"/>
    </row>
    <row r="32" spans="1:46" s="10" customFormat="1" ht="15" customHeight="1" x14ac:dyDescent="0.2">
      <c r="D32" s="456"/>
      <c r="E32" s="11" t="s">
        <v>102</v>
      </c>
      <c r="F32" s="292">
        <v>2</v>
      </c>
      <c r="G32" s="15"/>
      <c r="H32" s="12"/>
      <c r="I32" s="31"/>
      <c r="J32" s="930"/>
      <c r="K32" s="811"/>
      <c r="L32" s="811"/>
      <c r="M32" s="3" t="s">
        <v>275</v>
      </c>
      <c r="N32" s="12"/>
      <c r="O32" s="12"/>
      <c r="P32" s="31"/>
      <c r="Q32" s="916"/>
      <c r="R32" s="77"/>
      <c r="S32" s="312"/>
      <c r="T32" s="77"/>
      <c r="U32" s="77"/>
      <c r="V32" s="77"/>
      <c r="W32" s="77"/>
      <c r="X32" s="929"/>
      <c r="Y32" s="929"/>
      <c r="Z32" s="929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13"/>
      <c r="AT32" s="13"/>
    </row>
    <row r="33" spans="4:60" ht="15" customHeight="1" x14ac:dyDescent="0.2">
      <c r="D33" s="456"/>
      <c r="E33" s="4" t="s">
        <v>97</v>
      </c>
      <c r="F33" s="19">
        <v>1</v>
      </c>
      <c r="G33" s="18"/>
      <c r="H33" s="5"/>
      <c r="I33" s="33"/>
      <c r="J33" s="858" t="s">
        <v>276</v>
      </c>
      <c r="K33" s="859"/>
      <c r="L33" s="859"/>
      <c r="M33" s="64" t="s">
        <v>256</v>
      </c>
      <c r="N33" s="5"/>
      <c r="O33" s="5"/>
      <c r="P33" s="33"/>
      <c r="Q33" s="916"/>
      <c r="S33" s="312"/>
      <c r="X33" s="922"/>
      <c r="Y33" s="922"/>
      <c r="Z33" s="922"/>
      <c r="AA33" s="147"/>
      <c r="AS33" s="1"/>
      <c r="AT33" s="1"/>
    </row>
    <row r="34" spans="4:60" s="24" customFormat="1" ht="17.25" customHeight="1" x14ac:dyDescent="0.25">
      <c r="D34" s="456"/>
      <c r="E34" s="807" t="s">
        <v>277</v>
      </c>
      <c r="F34" s="808"/>
      <c r="G34" s="809"/>
      <c r="H34" s="809"/>
      <c r="I34" s="810"/>
      <c r="J34" s="846" t="s">
        <v>56</v>
      </c>
      <c r="K34" s="847"/>
      <c r="L34" s="847"/>
      <c r="M34" s="847"/>
      <c r="N34" s="847"/>
      <c r="O34" s="847"/>
      <c r="P34" s="848"/>
      <c r="Q34" s="916"/>
      <c r="R34" s="917"/>
      <c r="S34" s="917"/>
      <c r="T34" s="917"/>
      <c r="U34" s="917"/>
      <c r="V34" s="917"/>
      <c r="W34" s="917"/>
      <c r="X34" s="925"/>
      <c r="Y34" s="925"/>
      <c r="Z34" s="925"/>
      <c r="AA34" s="925"/>
      <c r="AB34" s="925"/>
      <c r="AC34" s="925"/>
      <c r="AD34" s="925"/>
      <c r="AE34" s="316"/>
      <c r="AF34" s="316"/>
      <c r="AG34" s="316"/>
      <c r="AH34" s="316"/>
      <c r="AI34" s="316"/>
      <c r="AJ34" s="316"/>
      <c r="AK34" s="316"/>
      <c r="AL34" s="316"/>
      <c r="AM34" s="316"/>
      <c r="AN34" s="316"/>
      <c r="AO34" s="316"/>
      <c r="AP34" s="316"/>
      <c r="AQ34" s="316"/>
      <c r="AR34" s="316"/>
      <c r="AS34" s="321"/>
      <c r="AT34" s="21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</row>
    <row r="35" spans="4:60" s="29" customFormat="1" ht="15" customHeight="1" x14ac:dyDescent="0.2">
      <c r="D35" s="456"/>
      <c r="E35" s="25" t="s">
        <v>48</v>
      </c>
      <c r="F35" s="30" t="s">
        <v>239</v>
      </c>
      <c r="G35" s="26" t="s">
        <v>50</v>
      </c>
      <c r="H35" s="27" t="s">
        <v>52</v>
      </c>
      <c r="I35" s="327" t="s">
        <v>240</v>
      </c>
      <c r="J35" s="801" t="s">
        <v>180</v>
      </c>
      <c r="K35" s="802"/>
      <c r="L35" s="802"/>
      <c r="M35" s="26" t="s">
        <v>174</v>
      </c>
      <c r="N35" s="26" t="s">
        <v>175</v>
      </c>
      <c r="O35" s="26" t="s">
        <v>176</v>
      </c>
      <c r="P35" s="34" t="s">
        <v>177</v>
      </c>
      <c r="Q35" s="916"/>
      <c r="R35" s="80"/>
      <c r="S35" s="80"/>
      <c r="T35" s="80"/>
      <c r="U35" s="137"/>
      <c r="V35" s="137"/>
      <c r="W35" s="137"/>
      <c r="X35" s="923"/>
      <c r="Y35" s="923"/>
      <c r="Z35" s="923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67"/>
      <c r="AT35" s="30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</row>
    <row r="36" spans="4:60" s="38" customFormat="1" ht="27.75" customHeight="1" x14ac:dyDescent="0.2">
      <c r="D36" s="456"/>
      <c r="E36" s="39" t="s">
        <v>64</v>
      </c>
      <c r="F36" s="325">
        <v>5</v>
      </c>
      <c r="G36" s="40"/>
      <c r="H36" s="41" t="s">
        <v>66</v>
      </c>
      <c r="I36" s="42"/>
      <c r="J36" s="844" t="s">
        <v>278</v>
      </c>
      <c r="K36" s="845"/>
      <c r="L36" s="845"/>
      <c r="M36" s="41" t="s">
        <v>279</v>
      </c>
      <c r="N36" s="41" t="s">
        <v>245</v>
      </c>
      <c r="O36" s="41" t="s">
        <v>280</v>
      </c>
      <c r="P36" s="42"/>
      <c r="Q36" s="916"/>
      <c r="R36" s="81"/>
      <c r="S36" s="142"/>
      <c r="T36" s="81"/>
      <c r="U36" s="81"/>
      <c r="V36" s="81"/>
      <c r="W36" s="81"/>
      <c r="X36" s="924"/>
      <c r="Y36" s="924"/>
      <c r="Z36" s="924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72"/>
      <c r="AT36" s="297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</row>
    <row r="37" spans="4:60" ht="15" customHeight="1" x14ac:dyDescent="0.2">
      <c r="D37" s="456"/>
      <c r="E37" s="2" t="s">
        <v>75</v>
      </c>
      <c r="F37" s="37">
        <v>1</v>
      </c>
      <c r="G37" s="14"/>
      <c r="H37" s="3" t="s">
        <v>76</v>
      </c>
      <c r="I37" s="32"/>
      <c r="J37" s="786" t="s">
        <v>282</v>
      </c>
      <c r="K37" s="787"/>
      <c r="L37" s="787"/>
      <c r="M37" s="3" t="s">
        <v>244</v>
      </c>
      <c r="N37" s="3" t="s">
        <v>245</v>
      </c>
      <c r="O37" s="3"/>
      <c r="P37" s="32"/>
      <c r="Q37" s="916"/>
      <c r="S37" s="312"/>
      <c r="X37" s="922"/>
      <c r="Y37" s="922"/>
      <c r="Z37" s="922"/>
      <c r="AS37" s="73"/>
      <c r="AT37" s="17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</row>
    <row r="38" spans="4:60" s="10" customFormat="1" ht="15" customHeight="1" x14ac:dyDescent="0.2">
      <c r="D38" s="456"/>
      <c r="E38" s="11" t="s">
        <v>113</v>
      </c>
      <c r="F38" s="292">
        <v>4</v>
      </c>
      <c r="G38" s="15"/>
      <c r="H38" s="12"/>
      <c r="I38" s="31"/>
      <c r="J38" s="819" t="s">
        <v>264</v>
      </c>
      <c r="K38" s="811"/>
      <c r="L38" s="811"/>
      <c r="M38" s="12" t="s">
        <v>283</v>
      </c>
      <c r="N38" s="12"/>
      <c r="O38" s="12"/>
      <c r="P38" s="31"/>
      <c r="Q38" s="916"/>
      <c r="R38" s="77"/>
      <c r="S38" s="312"/>
      <c r="T38" s="77"/>
      <c r="U38" s="77"/>
      <c r="V38" s="77"/>
      <c r="W38" s="77"/>
      <c r="X38" s="921"/>
      <c r="Y38" s="921"/>
      <c r="Z38" s="921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68"/>
      <c r="AT38" s="16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</row>
    <row r="39" spans="4:60" ht="15" customHeight="1" x14ac:dyDescent="0.2">
      <c r="D39" s="456"/>
      <c r="E39" s="2" t="s">
        <v>111</v>
      </c>
      <c r="F39" s="37">
        <v>3</v>
      </c>
      <c r="G39" s="14"/>
      <c r="H39" s="3"/>
      <c r="I39" s="32"/>
      <c r="J39" s="786" t="s">
        <v>285</v>
      </c>
      <c r="K39" s="787"/>
      <c r="L39" s="787"/>
      <c r="M39" s="3" t="s">
        <v>256</v>
      </c>
      <c r="N39" s="3"/>
      <c r="O39" s="3"/>
      <c r="P39" s="32"/>
      <c r="Q39" s="916"/>
      <c r="S39" s="312"/>
      <c r="X39" s="922"/>
      <c r="Y39" s="922"/>
      <c r="Z39" s="922"/>
      <c r="AS39" s="73"/>
      <c r="AT39" s="17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</row>
    <row r="40" spans="4:60" s="10" customFormat="1" ht="15" customHeight="1" x14ac:dyDescent="0.2">
      <c r="D40" s="456"/>
      <c r="E40" s="52"/>
      <c r="F40" s="53"/>
      <c r="G40" s="54"/>
      <c r="H40" s="54"/>
      <c r="I40" s="55"/>
      <c r="J40" s="789"/>
      <c r="K40" s="763"/>
      <c r="L40" s="764"/>
      <c r="M40" s="54"/>
      <c r="N40" s="54"/>
      <c r="O40" s="54"/>
      <c r="P40" s="55"/>
      <c r="Q40" s="916"/>
      <c r="R40" s="77"/>
      <c r="S40" s="77"/>
      <c r="T40" s="77"/>
      <c r="U40" s="77"/>
      <c r="V40" s="77"/>
      <c r="W40" s="77"/>
      <c r="X40" s="918"/>
      <c r="Y40" s="918"/>
      <c r="Z40" s="918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4"/>
      <c r="AT40" s="16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</row>
    <row r="41" spans="4:60" ht="15" hidden="1" customHeight="1" x14ac:dyDescent="0.2">
      <c r="D41" s="456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75"/>
      <c r="Q41" s="916"/>
      <c r="AS41" s="76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</row>
    <row r="42" spans="4:60" ht="15" hidden="1" customHeight="1" x14ac:dyDescent="0.2">
      <c r="D42" s="45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2"/>
      <c r="Q42" s="916"/>
      <c r="AS42" s="17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</row>
    <row r="43" spans="4:60" ht="15" hidden="1" customHeight="1" x14ac:dyDescent="0.2">
      <c r="D43" s="45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2"/>
      <c r="Q43" s="916"/>
      <c r="AS43" s="17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spans="4:60" ht="15" hidden="1" customHeight="1" x14ac:dyDescent="0.2">
      <c r="D44" s="45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2"/>
      <c r="Q44" s="916"/>
      <c r="AS44" s="17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spans="4:60" ht="15" hidden="1" customHeight="1" x14ac:dyDescent="0.2">
      <c r="D45" s="45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2"/>
      <c r="Q45" s="916"/>
      <c r="AS45" s="17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spans="4:60" ht="15" hidden="1" customHeight="1" x14ac:dyDescent="0.2">
      <c r="D46" s="45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2"/>
      <c r="Q46" s="916"/>
      <c r="AS46" s="17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spans="4:60" ht="15" hidden="1" customHeight="1" x14ac:dyDescent="0.2">
      <c r="D47" s="45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2"/>
      <c r="Q47" s="916"/>
      <c r="AS47" s="17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spans="4:60" ht="15" hidden="1" customHeight="1" x14ac:dyDescent="0.2">
      <c r="D48" s="45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2"/>
      <c r="Q48" s="916"/>
      <c r="AS48" s="17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</row>
    <row r="49" spans="4:60" ht="15" hidden="1" customHeight="1" x14ac:dyDescent="0.2">
      <c r="D49" s="45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2"/>
      <c r="Q49" s="916"/>
      <c r="AS49" s="17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</row>
    <row r="50" spans="4:60" ht="15" hidden="1" customHeight="1" x14ac:dyDescent="0.2">
      <c r="D50" s="45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2"/>
      <c r="Q50" s="916"/>
      <c r="AS50" s="17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spans="4:60" ht="15" hidden="1" customHeight="1" x14ac:dyDescent="0.2">
      <c r="D51" s="45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2"/>
      <c r="Q51" s="916"/>
      <c r="AS51" s="17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  <row r="52" spans="4:60" ht="15" hidden="1" customHeight="1" x14ac:dyDescent="0.2">
      <c r="D52" s="45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2"/>
      <c r="Q52" s="916"/>
      <c r="AS52" s="17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</row>
    <row r="53" spans="4:60" ht="15" hidden="1" customHeight="1" x14ac:dyDescent="0.2">
      <c r="D53" s="45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2"/>
      <c r="Q53" s="916"/>
      <c r="AS53" s="17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 spans="4:60" ht="15" hidden="1" customHeight="1" x14ac:dyDescent="0.2">
      <c r="D54" s="45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2"/>
      <c r="Q54" s="916"/>
      <c r="AS54" s="17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</row>
    <row r="55" spans="4:60" ht="15" hidden="1" customHeight="1" x14ac:dyDescent="0.2">
      <c r="D55" s="45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79"/>
      <c r="Q55" s="916"/>
      <c r="AS55" s="17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</row>
    <row r="56" spans="4:60" ht="15" customHeight="1" x14ac:dyDescent="0.25">
      <c r="D56" s="456"/>
      <c r="E56" s="807" t="s">
        <v>288</v>
      </c>
      <c r="F56" s="808"/>
      <c r="G56" s="809"/>
      <c r="H56" s="809"/>
      <c r="I56" s="810"/>
      <c r="J56" s="846" t="s">
        <v>56</v>
      </c>
      <c r="K56" s="847"/>
      <c r="L56" s="847"/>
      <c r="M56" s="847"/>
      <c r="N56" s="847"/>
      <c r="O56" s="847"/>
      <c r="P56" s="848"/>
      <c r="Q56" s="916"/>
      <c r="R56" s="917"/>
      <c r="S56" s="917"/>
      <c r="T56" s="917"/>
      <c r="U56" s="917"/>
      <c r="V56" s="917"/>
      <c r="W56" s="917"/>
      <c r="X56" s="925"/>
      <c r="Y56" s="925"/>
      <c r="Z56" s="925"/>
      <c r="AA56" s="925"/>
      <c r="AB56" s="925"/>
      <c r="AC56" s="925"/>
      <c r="AD56" s="925"/>
    </row>
    <row r="57" spans="4:60" ht="15" customHeight="1" x14ac:dyDescent="0.2">
      <c r="D57" s="456"/>
      <c r="E57" s="25" t="s">
        <v>48</v>
      </c>
      <c r="F57" s="30" t="s">
        <v>239</v>
      </c>
      <c r="G57" s="26" t="s">
        <v>50</v>
      </c>
      <c r="H57" s="27" t="s">
        <v>52</v>
      </c>
      <c r="I57" s="327" t="s">
        <v>240</v>
      </c>
      <c r="J57" s="801" t="s">
        <v>180</v>
      </c>
      <c r="K57" s="802"/>
      <c r="L57" s="802"/>
      <c r="M57" s="26" t="s">
        <v>174</v>
      </c>
      <c r="N57" s="26" t="s">
        <v>175</v>
      </c>
      <c r="O57" s="26" t="s">
        <v>176</v>
      </c>
      <c r="P57" s="34" t="s">
        <v>177</v>
      </c>
      <c r="Q57" s="148"/>
      <c r="R57" s="80"/>
      <c r="S57" s="80"/>
      <c r="T57" s="80"/>
      <c r="U57" s="137"/>
      <c r="V57" s="137"/>
      <c r="W57" s="137"/>
      <c r="X57" s="923"/>
      <c r="Y57" s="923"/>
      <c r="Z57" s="923"/>
      <c r="AA57" s="80"/>
      <c r="AB57" s="80"/>
      <c r="AC57" s="80"/>
      <c r="AD57" s="80"/>
    </row>
    <row r="58" spans="4:60" ht="15" customHeight="1" x14ac:dyDescent="0.2">
      <c r="D58" s="456"/>
      <c r="E58" s="39"/>
      <c r="F58" s="325"/>
      <c r="G58" s="41"/>
      <c r="H58" s="41"/>
      <c r="I58" s="42"/>
      <c r="J58" s="844"/>
      <c r="K58" s="845"/>
      <c r="L58" s="845"/>
      <c r="M58" s="41"/>
      <c r="N58" s="41"/>
      <c r="O58" s="41"/>
      <c r="P58" s="42"/>
      <c r="Q58" s="148"/>
      <c r="R58" s="81"/>
      <c r="S58" s="142"/>
      <c r="T58" s="81"/>
      <c r="U58" s="81"/>
      <c r="V58" s="81"/>
      <c r="W58" s="81"/>
      <c r="X58" s="924"/>
      <c r="Y58" s="924"/>
      <c r="Z58" s="924"/>
      <c r="AA58" s="81"/>
      <c r="AB58" s="81"/>
      <c r="AC58" s="81"/>
      <c r="AD58" s="81"/>
    </row>
    <row r="59" spans="4:60" ht="15" customHeight="1" x14ac:dyDescent="0.2">
      <c r="D59" s="456"/>
      <c r="E59" s="2"/>
      <c r="F59" s="37"/>
      <c r="G59" s="84"/>
      <c r="H59" s="3"/>
      <c r="I59" s="32"/>
      <c r="J59" s="786"/>
      <c r="K59" s="787"/>
      <c r="L59" s="787"/>
      <c r="M59" s="3"/>
      <c r="N59" s="3"/>
      <c r="O59" s="3"/>
      <c r="P59" s="32"/>
      <c r="Q59" s="148"/>
      <c r="S59" s="312"/>
      <c r="X59" s="922"/>
      <c r="Y59" s="922"/>
      <c r="Z59" s="922"/>
    </row>
    <row r="60" spans="4:60" ht="15" customHeight="1" x14ac:dyDescent="0.2">
      <c r="D60" s="456"/>
      <c r="E60" s="11"/>
      <c r="F60" s="292"/>
      <c r="G60" s="12"/>
      <c r="H60" s="12"/>
      <c r="I60" s="31"/>
      <c r="J60" s="819"/>
      <c r="K60" s="811"/>
      <c r="L60" s="811"/>
      <c r="M60" s="12"/>
      <c r="N60" s="12"/>
      <c r="O60" s="12"/>
      <c r="P60" s="31"/>
      <c r="Q60" s="148"/>
      <c r="S60" s="312"/>
      <c r="X60" s="921"/>
      <c r="Y60" s="921"/>
      <c r="Z60" s="921"/>
    </row>
    <row r="61" spans="4:60" ht="15" customHeight="1" x14ac:dyDescent="0.2">
      <c r="D61" s="456"/>
      <c r="E61" s="2"/>
      <c r="F61" s="37"/>
      <c r="G61" s="85"/>
      <c r="H61" s="3"/>
      <c r="I61" s="32"/>
      <c r="J61" s="786"/>
      <c r="K61" s="787"/>
      <c r="L61" s="787"/>
      <c r="M61" s="3"/>
      <c r="N61" s="3"/>
      <c r="O61" s="3"/>
      <c r="P61" s="32"/>
      <c r="Q61" s="148"/>
      <c r="S61" s="312"/>
      <c r="X61" s="922"/>
      <c r="Y61" s="922"/>
      <c r="Z61" s="922"/>
    </row>
    <row r="62" spans="4:60" ht="15" customHeight="1" x14ac:dyDescent="0.2">
      <c r="D62" s="456"/>
      <c r="E62" s="52"/>
      <c r="F62" s="53"/>
      <c r="G62" s="54"/>
      <c r="H62" s="54"/>
      <c r="I62" s="55"/>
      <c r="J62" s="789"/>
      <c r="K62" s="763"/>
      <c r="L62" s="764"/>
      <c r="M62" s="54"/>
      <c r="N62" s="54"/>
      <c r="O62" s="54"/>
      <c r="P62" s="55"/>
      <c r="Q62" s="148"/>
      <c r="X62" s="918"/>
      <c r="Y62" s="918"/>
      <c r="Z62" s="918"/>
    </row>
    <row r="63" spans="4:60" ht="15" customHeight="1" x14ac:dyDescent="0.25">
      <c r="D63" s="127">
        <f>SUM(A12,A21,A28,A35)</f>
        <v>0</v>
      </c>
      <c r="E63" s="804" t="s">
        <v>125</v>
      </c>
      <c r="F63" s="804"/>
      <c r="G63" s="804"/>
      <c r="H63" s="804"/>
      <c r="I63" s="804"/>
      <c r="J63" s="82"/>
      <c r="K63" s="82"/>
      <c r="L63" s="82"/>
      <c r="M63" s="83"/>
      <c r="N63" s="83"/>
      <c r="O63" s="83"/>
      <c r="P63" s="83"/>
      <c r="Q63" s="149"/>
      <c r="R63" s="917"/>
      <c r="S63" s="917"/>
      <c r="T63" s="917"/>
      <c r="U63" s="917"/>
      <c r="V63" s="917"/>
      <c r="W63" s="917"/>
      <c r="X63" s="312"/>
      <c r="Y63" s="312"/>
      <c r="Z63" s="312"/>
    </row>
    <row r="64" spans="4:60" ht="15" customHeight="1" x14ac:dyDescent="0.2">
      <c r="D64" s="119" t="s">
        <v>241</v>
      </c>
      <c r="E64" s="118" t="s">
        <v>48</v>
      </c>
      <c r="F64" s="86" t="s">
        <v>239</v>
      </c>
      <c r="G64" s="87" t="s">
        <v>50</v>
      </c>
      <c r="H64" s="116" t="s">
        <v>52</v>
      </c>
      <c r="I64" s="88" t="s">
        <v>241</v>
      </c>
      <c r="J64" s="801" t="s">
        <v>180</v>
      </c>
      <c r="K64" s="802"/>
      <c r="L64" s="802"/>
      <c r="M64" s="26" t="s">
        <v>174</v>
      </c>
      <c r="N64" s="26" t="s">
        <v>175</v>
      </c>
      <c r="O64" s="26" t="s">
        <v>176</v>
      </c>
      <c r="P64" s="34" t="s">
        <v>177</v>
      </c>
      <c r="Q64" s="150"/>
      <c r="R64" s="151"/>
      <c r="S64" s="80"/>
      <c r="T64" s="80"/>
      <c r="U64" s="151"/>
      <c r="V64" s="151"/>
      <c r="W64" s="137"/>
      <c r="X64" s="923"/>
      <c r="Y64" s="923"/>
      <c r="Z64" s="923"/>
      <c r="AA64" s="80"/>
      <c r="AB64" s="80"/>
      <c r="AC64" s="80"/>
      <c r="AD64" s="80"/>
    </row>
    <row r="65" spans="4:44" ht="15" customHeight="1" x14ac:dyDescent="0.2">
      <c r="D65" s="120"/>
      <c r="E65" s="16"/>
      <c r="F65" s="12"/>
      <c r="G65" s="12"/>
      <c r="H65" s="12"/>
      <c r="I65" s="12"/>
      <c r="J65" s="803"/>
      <c r="K65" s="745"/>
      <c r="L65" s="733"/>
      <c r="M65" s="12"/>
      <c r="N65" s="12"/>
      <c r="O65" s="12"/>
      <c r="P65" s="31"/>
      <c r="Q65" s="152"/>
      <c r="X65" s="918"/>
      <c r="Y65" s="918"/>
      <c r="Z65" s="918"/>
    </row>
    <row r="66" spans="4:44" s="89" customFormat="1" ht="15" customHeight="1" x14ac:dyDescent="0.2">
      <c r="D66" s="120"/>
      <c r="E66" s="115"/>
      <c r="F66" s="84"/>
      <c r="G66" s="84"/>
      <c r="H66" s="84"/>
      <c r="I66" s="84"/>
      <c r="J66" s="785"/>
      <c r="K66" s="735"/>
      <c r="L66" s="736"/>
      <c r="M66" s="84"/>
      <c r="N66" s="84"/>
      <c r="O66" s="84"/>
      <c r="P66" s="113"/>
      <c r="Q66" s="153"/>
      <c r="R66" s="77"/>
      <c r="S66" s="77"/>
      <c r="T66" s="77"/>
      <c r="U66" s="77"/>
      <c r="V66" s="77"/>
      <c r="W66" s="77"/>
      <c r="X66" s="918"/>
      <c r="Y66" s="918"/>
      <c r="Z66" s="918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</row>
    <row r="67" spans="4:44" ht="15" customHeight="1" x14ac:dyDescent="0.2">
      <c r="D67" s="120"/>
      <c r="E67" s="53"/>
      <c r="F67" s="54"/>
      <c r="G67" s="54"/>
      <c r="H67" s="54"/>
      <c r="I67" s="54"/>
      <c r="J67" s="762"/>
      <c r="K67" s="763"/>
      <c r="L67" s="764"/>
      <c r="M67" s="54"/>
      <c r="N67" s="54"/>
      <c r="O67" s="54"/>
      <c r="P67" s="55"/>
      <c r="Q67" s="153"/>
      <c r="X67" s="918"/>
      <c r="Y67" s="918"/>
      <c r="Z67" s="918"/>
    </row>
    <row r="68" spans="4:44" ht="15" customHeight="1" x14ac:dyDescent="0.2">
      <c r="D68" s="121"/>
      <c r="E68" s="765" t="s">
        <v>294</v>
      </c>
      <c r="F68" s="766"/>
      <c r="G68" s="766"/>
      <c r="H68" s="766"/>
      <c r="I68" s="767"/>
      <c r="J68" s="108" t="e">
        <f>COUNTIF(J26:J61, 1)/$A$47</f>
        <v>#DIV/0!</v>
      </c>
      <c r="K68" s="108" t="e">
        <f>COUNTIF(K26:K61, 1)/$A$47</f>
        <v>#DIV/0!</v>
      </c>
      <c r="L68" s="108" t="e">
        <f>COUNTIF(L26:L61, 1)/$A$47</f>
        <v>#DIV/0!</v>
      </c>
      <c r="M68" s="108" t="e">
        <f>COUNTIF(M26:M61, 1)/$A$47</f>
        <v>#DIV/0!</v>
      </c>
      <c r="N68" s="108" t="e">
        <f>COUNTIF(N26:N61, 1)/$A$47</f>
        <v>#DIV/0!</v>
      </c>
      <c r="O68" s="108" t="e">
        <f>COUNTIF(O26:O61, 1)/$A$47</f>
        <v>#DIV/0!</v>
      </c>
      <c r="P68" s="122" t="e">
        <f>COUNTIF(P26:P61, 1)/$A$47</f>
        <v>#DIV/0!</v>
      </c>
      <c r="Q68" s="154"/>
      <c r="R68" s="919"/>
      <c r="S68" s="919"/>
      <c r="T68" s="919"/>
      <c r="U68" s="919"/>
      <c r="V68" s="919"/>
      <c r="W68" s="919"/>
      <c r="X68" s="914"/>
      <c r="Y68" s="914"/>
      <c r="Z68" s="914"/>
      <c r="AA68" s="309"/>
      <c r="AB68" s="309"/>
      <c r="AC68" s="309"/>
      <c r="AD68" s="309"/>
    </row>
    <row r="69" spans="4:44" ht="15" customHeight="1" x14ac:dyDescent="0.2">
      <c r="D69" s="121"/>
      <c r="E69" s="774" t="s">
        <v>295</v>
      </c>
      <c r="F69" s="775"/>
      <c r="G69" s="775"/>
      <c r="H69" s="775"/>
      <c r="I69" s="776"/>
      <c r="J69" s="104" t="e">
        <f>COUNTIF(J27:J67, 2)/$A$47</f>
        <v>#DIV/0!</v>
      </c>
      <c r="K69" s="104" t="e">
        <f>COUNTIF(K27:K67, 2)/$A$47</f>
        <v>#DIV/0!</v>
      </c>
      <c r="L69" s="104" t="e">
        <f>COUNTIF(L27:L67, 2)/$A$47</f>
        <v>#DIV/0!</v>
      </c>
      <c r="M69" s="104" t="e">
        <f>COUNTIF(M27:M67, 2)/$A$47</f>
        <v>#DIV/0!</v>
      </c>
      <c r="N69" s="104" t="e">
        <f>COUNTIF(N27:N67, 2)/$A$47</f>
        <v>#DIV/0!</v>
      </c>
      <c r="O69" s="104" t="e">
        <f>COUNTIF(O27:O67, 2)/$A$47</f>
        <v>#DIV/0!</v>
      </c>
      <c r="P69" s="123" t="e">
        <f>COUNTIF(P27:P67, 2)/$A$47</f>
        <v>#DIV/0!</v>
      </c>
      <c r="Q69" s="148"/>
      <c r="R69" s="919"/>
      <c r="S69" s="919"/>
      <c r="T69" s="919"/>
      <c r="U69" s="919"/>
      <c r="V69" s="919"/>
      <c r="W69" s="919"/>
      <c r="X69" s="914"/>
      <c r="Y69" s="914"/>
      <c r="Z69" s="914"/>
      <c r="AA69" s="309"/>
      <c r="AB69" s="309"/>
      <c r="AC69" s="309"/>
      <c r="AD69" s="309"/>
    </row>
    <row r="70" spans="4:44" ht="15" customHeight="1" x14ac:dyDescent="0.2">
      <c r="D70" s="121"/>
      <c r="E70" s="792" t="s">
        <v>296</v>
      </c>
      <c r="F70" s="793"/>
      <c r="G70" s="793"/>
      <c r="H70" s="793"/>
      <c r="I70" s="794"/>
      <c r="J70" s="105" t="e">
        <f t="shared" ref="J70:P70" si="0">SUM(J68:J69)</f>
        <v>#DIV/0!</v>
      </c>
      <c r="K70" s="105" t="e">
        <f t="shared" si="0"/>
        <v>#DIV/0!</v>
      </c>
      <c r="L70" s="105" t="e">
        <f t="shared" si="0"/>
        <v>#DIV/0!</v>
      </c>
      <c r="M70" s="105" t="e">
        <f t="shared" si="0"/>
        <v>#DIV/0!</v>
      </c>
      <c r="N70" s="105" t="e">
        <f t="shared" si="0"/>
        <v>#DIV/0!</v>
      </c>
      <c r="O70" s="105" t="e">
        <f t="shared" si="0"/>
        <v>#DIV/0!</v>
      </c>
      <c r="P70" s="124" t="e">
        <f t="shared" si="0"/>
        <v>#DIV/0!</v>
      </c>
      <c r="Q70" s="155"/>
      <c r="R70" s="919"/>
      <c r="S70" s="919"/>
      <c r="T70" s="919"/>
      <c r="U70" s="919"/>
      <c r="V70" s="919"/>
      <c r="W70" s="919"/>
      <c r="X70" s="915"/>
      <c r="Y70" s="915"/>
      <c r="Z70" s="915"/>
      <c r="AA70" s="310"/>
      <c r="AB70" s="310"/>
      <c r="AC70" s="310"/>
      <c r="AD70" s="310"/>
    </row>
    <row r="71" spans="4:44" ht="15" customHeight="1" x14ac:dyDescent="0.25">
      <c r="D71" s="121"/>
      <c r="E71" s="754" t="s">
        <v>297</v>
      </c>
      <c r="F71" s="755"/>
      <c r="G71" s="755"/>
      <c r="H71" s="755"/>
      <c r="I71" s="756"/>
      <c r="J71" s="106">
        <f>COUNTIF(J26:J51, 1)</f>
        <v>0</v>
      </c>
      <c r="K71" s="106">
        <f>COUNTIF(K26:K51, 1)</f>
        <v>0</v>
      </c>
      <c r="L71" s="106">
        <f>COUNTIF(L26:L51, 1)</f>
        <v>0</v>
      </c>
      <c r="M71" s="106">
        <f>COUNTIF(M26:M51, 1)</f>
        <v>0</v>
      </c>
      <c r="N71" s="106">
        <f>COUNTIF(N26:N51, 1)</f>
        <v>0</v>
      </c>
      <c r="O71" s="106">
        <f>COUNTIF(O26:O51, 1)</f>
        <v>0</v>
      </c>
      <c r="P71" s="125">
        <f>COUNTIF(P26:P51, 1)</f>
        <v>0</v>
      </c>
      <c r="Q71" s="155"/>
      <c r="R71" s="917"/>
      <c r="S71" s="917"/>
      <c r="T71" s="917"/>
      <c r="U71" s="917"/>
      <c r="V71" s="917"/>
      <c r="W71" s="917"/>
      <c r="X71" s="156"/>
      <c r="Y71" s="156"/>
      <c r="Z71" s="156"/>
      <c r="AA71" s="156"/>
      <c r="AB71" s="156"/>
      <c r="AC71" s="156"/>
      <c r="AD71" s="156"/>
    </row>
    <row r="72" spans="4:44" ht="15" customHeight="1" x14ac:dyDescent="0.2">
      <c r="D72" s="121"/>
      <c r="E72" s="759" t="s">
        <v>298</v>
      </c>
      <c r="F72" s="760"/>
      <c r="G72" s="760"/>
      <c r="H72" s="760"/>
      <c r="I72" s="761"/>
      <c r="J72" s="107">
        <f>COUNTIF(J26:J51, 2)</f>
        <v>0</v>
      </c>
      <c r="K72" s="107">
        <f>COUNTIF(K26:K51, 2)</f>
        <v>0</v>
      </c>
      <c r="L72" s="107">
        <f>COUNTIF(L26:L51, 2)</f>
        <v>0</v>
      </c>
      <c r="M72" s="107">
        <f>COUNTIF(M26:M51, 2)</f>
        <v>0</v>
      </c>
      <c r="N72" s="107">
        <f>COUNTIF(N26:N51, 2)</f>
        <v>0</v>
      </c>
      <c r="O72" s="107">
        <f>COUNTIF(O26:O51, 2)</f>
        <v>0</v>
      </c>
      <c r="P72" s="126">
        <f>COUNTIF(P26:P51, 2)</f>
        <v>0</v>
      </c>
      <c r="Q72" s="155"/>
      <c r="R72" s="151"/>
      <c r="S72" s="80"/>
      <c r="T72" s="80"/>
      <c r="U72" s="151"/>
      <c r="V72" s="151"/>
      <c r="W72" s="148"/>
      <c r="X72" s="151"/>
      <c r="Y72" s="80"/>
      <c r="Z72" s="80"/>
      <c r="AA72" s="151"/>
      <c r="AB72" s="148"/>
    </row>
    <row r="73" spans="4:44" s="89" customFormat="1" ht="15" customHeight="1" x14ac:dyDescent="0.2">
      <c r="D73" s="311"/>
      <c r="E73" s="77"/>
      <c r="F73" s="77"/>
      <c r="G73" s="77"/>
      <c r="H73" s="77"/>
      <c r="I73" s="77"/>
      <c r="J73" s="312"/>
      <c r="K73" s="312"/>
      <c r="L73" s="312"/>
      <c r="M73" s="77"/>
      <c r="N73" s="77"/>
      <c r="O73" s="77"/>
      <c r="P73" s="77"/>
      <c r="Q73" s="311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</row>
    <row r="74" spans="4:44" s="89" customFormat="1" ht="15" customHeight="1" x14ac:dyDescent="0.2">
      <c r="D74" s="311"/>
      <c r="E74" s="77"/>
      <c r="F74" s="77"/>
      <c r="G74" s="77"/>
      <c r="H74" s="77"/>
      <c r="I74" s="77"/>
      <c r="J74" s="312"/>
      <c r="K74" s="312"/>
      <c r="L74" s="312"/>
      <c r="M74" s="77"/>
      <c r="N74" s="77"/>
      <c r="O74" s="77"/>
      <c r="P74" s="77"/>
      <c r="Q74" s="311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</row>
    <row r="75" spans="4:44" ht="15" hidden="1" customHeight="1" x14ac:dyDescent="0.2">
      <c r="Q75" s="78"/>
    </row>
    <row r="76" spans="4:44" ht="15" x14ac:dyDescent="0.2"/>
    <row r="77" spans="4:44" ht="15" x14ac:dyDescent="0.2"/>
    <row r="78" spans="4:44" ht="15" x14ac:dyDescent="0.2"/>
    <row r="79" spans="4:44" ht="15" x14ac:dyDescent="0.2"/>
    <row r="80" spans="4:44" ht="15" x14ac:dyDescent="0.2"/>
    <row r="81" ht="15" x14ac:dyDescent="0.2"/>
    <row r="82" ht="15" x14ac:dyDescent="0.2"/>
    <row r="83" ht="15" x14ac:dyDescent="0.2"/>
    <row r="84" ht="15" x14ac:dyDescent="0.2"/>
    <row r="85" ht="15" x14ac:dyDescent="0.2"/>
    <row r="86" ht="15" x14ac:dyDescent="0.2"/>
  </sheetData>
  <mergeCells count="154">
    <mergeCell ref="J40:L40"/>
    <mergeCell ref="J39:L39"/>
    <mergeCell ref="E34:I34"/>
    <mergeCell ref="J34:P34"/>
    <mergeCell ref="J35:L35"/>
    <mergeCell ref="J36:L36"/>
    <mergeCell ref="J37:L37"/>
    <mergeCell ref="J38:L38"/>
    <mergeCell ref="J60:L60"/>
    <mergeCell ref="J32:L32"/>
    <mergeCell ref="I14:J14"/>
    <mergeCell ref="J16:P16"/>
    <mergeCell ref="J15:L15"/>
    <mergeCell ref="J33:L33"/>
    <mergeCell ref="J24:L24"/>
    <mergeCell ref="J17:L17"/>
    <mergeCell ref="J18:L18"/>
    <mergeCell ref="J19:L19"/>
    <mergeCell ref="J20:L20"/>
    <mergeCell ref="J21:L21"/>
    <mergeCell ref="J29:L29"/>
    <mergeCell ref="J30:L30"/>
    <mergeCell ref="J31:L31"/>
    <mergeCell ref="E28:I28"/>
    <mergeCell ref="J28:P28"/>
    <mergeCell ref="E16:I16"/>
    <mergeCell ref="E22:I22"/>
    <mergeCell ref="J23:L23"/>
    <mergeCell ref="J22:P22"/>
    <mergeCell ref="J25:L25"/>
    <mergeCell ref="J26:L26"/>
    <mergeCell ref="J27:L27"/>
    <mergeCell ref="E15:I15"/>
    <mergeCell ref="R34:W34"/>
    <mergeCell ref="X34:AD34"/>
    <mergeCell ref="X35:Z35"/>
    <mergeCell ref="X30:Z30"/>
    <mergeCell ref="X29:Z29"/>
    <mergeCell ref="X24:Z24"/>
    <mergeCell ref="X25:Z25"/>
    <mergeCell ref="X26:Z26"/>
    <mergeCell ref="X18:Z18"/>
    <mergeCell ref="X19:Z19"/>
    <mergeCell ref="X20:Z20"/>
    <mergeCell ref="X21:Z21"/>
    <mergeCell ref="X56:AD56"/>
    <mergeCell ref="X57:Z57"/>
    <mergeCell ref="X36:Z36"/>
    <mergeCell ref="X37:Z37"/>
    <mergeCell ref="X38:Z38"/>
    <mergeCell ref="X39:Z39"/>
    <mergeCell ref="X40:Z40"/>
    <mergeCell ref="X31:Z31"/>
    <mergeCell ref="X32:Z32"/>
    <mergeCell ref="X33:Z33"/>
    <mergeCell ref="R1:U1"/>
    <mergeCell ref="W1:X1"/>
    <mergeCell ref="R3:U3"/>
    <mergeCell ref="W3:X3"/>
    <mergeCell ref="R5:U5"/>
    <mergeCell ref="R7:U7"/>
    <mergeCell ref="R9:U9"/>
    <mergeCell ref="R11:U11"/>
    <mergeCell ref="R13:U13"/>
    <mergeCell ref="W11:X11"/>
    <mergeCell ref="W12:X12"/>
    <mergeCell ref="W13:X13"/>
    <mergeCell ref="W4:X4"/>
    <mergeCell ref="W5:X5"/>
    <mergeCell ref="W6:X6"/>
    <mergeCell ref="W7:X7"/>
    <mergeCell ref="W8:X8"/>
    <mergeCell ref="W9:X9"/>
    <mergeCell ref="W10:X10"/>
    <mergeCell ref="Z2:AA2"/>
    <mergeCell ref="Z3:AA3"/>
    <mergeCell ref="Z4:AA4"/>
    <mergeCell ref="Z5:AA5"/>
    <mergeCell ref="Z6:AA6"/>
    <mergeCell ref="R22:W22"/>
    <mergeCell ref="X22:AD22"/>
    <mergeCell ref="X23:Z23"/>
    <mergeCell ref="R28:W28"/>
    <mergeCell ref="X28:AD28"/>
    <mergeCell ref="Z13:AA13"/>
    <mergeCell ref="R15:W15"/>
    <mergeCell ref="X15:Z15"/>
    <mergeCell ref="X16:AD16"/>
    <mergeCell ref="X17:Z17"/>
    <mergeCell ref="X27:Z27"/>
    <mergeCell ref="R16:W16"/>
    <mergeCell ref="W14:X14"/>
    <mergeCell ref="L13:M13"/>
    <mergeCell ref="E13:H13"/>
    <mergeCell ref="E11:H11"/>
    <mergeCell ref="E9:H9"/>
    <mergeCell ref="E7:H7"/>
    <mergeCell ref="E5:H5"/>
    <mergeCell ref="E1:H1"/>
    <mergeCell ref="I1:J1"/>
    <mergeCell ref="I3:J3"/>
    <mergeCell ref="I4:J4"/>
    <mergeCell ref="I5:J5"/>
    <mergeCell ref="I6:J6"/>
    <mergeCell ref="I7:J7"/>
    <mergeCell ref="I8:J8"/>
    <mergeCell ref="E3:H3"/>
    <mergeCell ref="I9:J9"/>
    <mergeCell ref="I10:J10"/>
    <mergeCell ref="I11:J11"/>
    <mergeCell ref="I12:J12"/>
    <mergeCell ref="I13:J13"/>
    <mergeCell ref="R56:W56"/>
    <mergeCell ref="J65:L65"/>
    <mergeCell ref="J66:L66"/>
    <mergeCell ref="J67:L67"/>
    <mergeCell ref="E68:I68"/>
    <mergeCell ref="E69:I69"/>
    <mergeCell ref="E70:I70"/>
    <mergeCell ref="E71:I71"/>
    <mergeCell ref="E72:I72"/>
    <mergeCell ref="J64:L64"/>
    <mergeCell ref="E56:I56"/>
    <mergeCell ref="J56:P56"/>
    <mergeCell ref="J57:L57"/>
    <mergeCell ref="J58:L58"/>
    <mergeCell ref="J59:L59"/>
    <mergeCell ref="J61:L61"/>
    <mergeCell ref="J62:L62"/>
    <mergeCell ref="E63:I63"/>
    <mergeCell ref="D2:D28"/>
    <mergeCell ref="X69:Z69"/>
    <mergeCell ref="X70:Z70"/>
    <mergeCell ref="Q3:Q56"/>
    <mergeCell ref="R71:W71"/>
    <mergeCell ref="X65:Z65"/>
    <mergeCell ref="X66:Z66"/>
    <mergeCell ref="X67:Z67"/>
    <mergeCell ref="R68:W68"/>
    <mergeCell ref="R69:W69"/>
    <mergeCell ref="R70:W70"/>
    <mergeCell ref="Z8:AA8"/>
    <mergeCell ref="X68:Z68"/>
    <mergeCell ref="Z7:AA7"/>
    <mergeCell ref="Z9:AA9"/>
    <mergeCell ref="Z10:AA10"/>
    <mergeCell ref="Z11:AA11"/>
    <mergeCell ref="X60:Z60"/>
    <mergeCell ref="X61:Z61"/>
    <mergeCell ref="X62:Z62"/>
    <mergeCell ref="R63:W63"/>
    <mergeCell ref="X64:Z64"/>
    <mergeCell ref="X58:Z58"/>
    <mergeCell ref="X59:Z59"/>
  </mergeCells>
  <conditionalFormatting sqref="J68:P70">
    <cfRule type="cellIs" dxfId="9" priority="13" operator="greaterThanOrEqual">
      <formula>0.15</formula>
    </cfRule>
    <cfRule type="cellIs" dxfId="8" priority="14" operator="between">
      <formula>0.075</formula>
      <formula>0.14</formula>
    </cfRule>
    <cfRule type="cellIs" dxfId="7" priority="15" operator="between">
      <formula>0</formula>
      <formula>0.075</formula>
    </cfRule>
    <cfRule type="cellIs" dxfId="6" priority="17" operator="between">
      <formula>0.075</formula>
      <formula>0.14</formula>
    </cfRule>
    <cfRule type="cellIs" dxfId="5" priority="18" operator="between">
      <formula>0</formula>
      <formula>0.075</formula>
    </cfRule>
  </conditionalFormatting>
  <conditionalFormatting sqref="X68:X70 AA68:AD70">
    <cfRule type="cellIs" dxfId="4" priority="1" operator="greaterThanOrEqual">
      <formula>0.15</formula>
    </cfRule>
    <cfRule type="cellIs" dxfId="3" priority="2" operator="between">
      <formula>0.075</formula>
      <formula>0.14</formula>
    </cfRule>
    <cfRule type="cellIs" dxfId="2" priority="3" operator="between">
      <formula>0</formula>
      <formula>0.075</formula>
    </cfRule>
    <cfRule type="cellIs" dxfId="1" priority="5" operator="between">
      <formula>0.075</formula>
      <formula>0.14</formula>
    </cfRule>
    <cfRule type="cellIs" dxfId="0" priority="6" operator="between">
      <formula>0</formula>
      <formula>0.075</formula>
    </cfRule>
  </conditionalFormatting>
  <pageMargins left="0.25" right="0.25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Contents</vt:lpstr>
      <vt:lpstr>Week 3 August 2025</vt:lpstr>
      <vt:lpstr>Patrol Teams</vt:lpstr>
      <vt:lpstr>Personnel Roster</vt:lpstr>
      <vt:lpstr>Qual List</vt:lpstr>
      <vt:lpstr>BPT Master Leave Tracker</vt:lpstr>
      <vt:lpstr>Template v1.2</vt:lpstr>
      <vt:lpstr>Week 2 August 2025</vt:lpstr>
      <vt:lpstr>Week 1 August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Adam Tyrone</cp:lastModifiedBy>
  <cp:revision/>
  <dcterms:created xsi:type="dcterms:W3CDTF">2025-08-01T00:13:14Z</dcterms:created>
  <dcterms:modified xsi:type="dcterms:W3CDTF">2025-08-16T06:28:47Z</dcterms:modified>
  <cp:category/>
  <cp:contentStatus/>
</cp:coreProperties>
</file>